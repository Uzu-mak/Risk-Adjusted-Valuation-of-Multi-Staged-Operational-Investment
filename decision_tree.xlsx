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ri\Desktop\case_study2_risk_analysis\"/>
    </mc:Choice>
  </mc:AlternateContent>
  <xr:revisionPtr revIDLastSave="0" documentId="13_ncr:1_{D99AA30A-6B87-4FCE-9A3F-975817986AFE}" xr6:coauthVersionLast="47" xr6:coauthVersionMax="47" xr10:uidLastSave="{00000000-0000-0000-0000-000000000000}"/>
  <bookViews>
    <workbookView xWindow="-108" yWindow="-108" windowWidth="23256" windowHeight="12456" xr2:uid="{EEE63A9D-D264-4225-ADA0-D11E83293750}"/>
  </bookViews>
  <sheets>
    <sheet name="Sheet1" sheetId="1" r:id="rId1"/>
    <sheet name="treeCalc_1" sheetId="2" state="hidden" r:id="rId2"/>
  </sheets>
  <definedNames>
    <definedName name="treeList" hidden="1">"10000000000000000000000000000000000000000000000000000000000000000000000000000000000000000000000000000000000000000000000000000000000000000000000000000000000000000000000000000000000000000000000000000000"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  <c r="K34" i="2"/>
  <c r="J34" i="2"/>
  <c r="K33" i="2"/>
  <c r="J33" i="2"/>
  <c r="K22" i="2"/>
  <c r="J22" i="2"/>
  <c r="O22" i="2"/>
  <c r="K32" i="2"/>
  <c r="J32" i="2"/>
  <c r="K31" i="2"/>
  <c r="J31" i="2"/>
  <c r="K21" i="2"/>
  <c r="J21" i="2"/>
  <c r="O21" i="2"/>
  <c r="K30" i="2"/>
  <c r="J30" i="2"/>
  <c r="K29" i="2"/>
  <c r="J29" i="2"/>
  <c r="K20" i="2"/>
  <c r="J20" i="2"/>
  <c r="O20" i="2"/>
  <c r="K28" i="2"/>
  <c r="J28" i="2"/>
  <c r="K27" i="2"/>
  <c r="J27" i="2"/>
  <c r="K19" i="2"/>
  <c r="J19" i="2"/>
  <c r="O19" i="2"/>
  <c r="K26" i="2"/>
  <c r="J26" i="2"/>
  <c r="K25" i="2"/>
  <c r="J25" i="2"/>
  <c r="K18" i="2"/>
  <c r="J18" i="2"/>
  <c r="O18" i="2"/>
  <c r="K24" i="2"/>
  <c r="J24" i="2"/>
  <c r="K23" i="2"/>
  <c r="J23" i="2"/>
  <c r="K17" i="2"/>
  <c r="J17" i="2"/>
  <c r="O17" i="2"/>
  <c r="K16" i="2"/>
  <c r="J16" i="2"/>
  <c r="O16" i="2"/>
  <c r="K15" i="2"/>
  <c r="J15" i="2"/>
  <c r="O15" i="2"/>
  <c r="K14" i="2"/>
  <c r="J14" i="2"/>
  <c r="O14" i="2"/>
  <c r="J13" i="2"/>
  <c r="O13" i="2"/>
  <c r="J12" i="2"/>
  <c r="K11" i="2"/>
  <c r="J11" i="2"/>
  <c r="O11" i="2"/>
  <c r="B11" i="2"/>
  <c r="B2" i="2"/>
  <c r="F2" i="2"/>
  <c r="B4" i="1"/>
  <c r="F48" i="1"/>
  <c r="F43" i="1"/>
  <c r="E16" i="1"/>
  <c r="B19" i="1"/>
  <c r="F21" i="1"/>
  <c r="F9" i="1"/>
  <c r="D28" i="1"/>
  <c r="F13" i="1"/>
  <c r="F47" i="1"/>
  <c r="F17" i="1"/>
  <c r="F30" i="1"/>
  <c r="B1" i="1"/>
  <c r="F35" i="1"/>
  <c r="F39" i="1"/>
  <c r="E32" i="1"/>
  <c r="F40" i="1"/>
  <c r="D42" i="1"/>
  <c r="F33" i="1"/>
  <c r="F14" i="1"/>
  <c r="F34" i="1"/>
  <c r="F6" i="1"/>
  <c r="F25" i="1"/>
  <c r="E8" i="1"/>
  <c r="F29" i="1"/>
  <c r="F36" i="1"/>
  <c r="E38" i="1"/>
  <c r="F5" i="1"/>
  <c r="E24" i="1"/>
  <c r="F10" i="1"/>
  <c r="D12" i="1"/>
  <c r="C20" i="1"/>
  <c r="F22" i="1"/>
  <c r="F26" i="1"/>
  <c r="C1" i="1"/>
  <c r="F18" i="1"/>
  <c r="C2" i="1"/>
  <c r="E46" i="1"/>
  <c r="F44" i="1"/>
  <c r="A33" i="2" l="1"/>
  <c r="A22" i="2"/>
  <c r="A12" i="2"/>
  <c r="A26" i="2"/>
  <c r="A28" i="2"/>
  <c r="A27" i="2"/>
  <c r="A13" i="2"/>
  <c r="A14" i="2"/>
  <c r="A24" i="2"/>
  <c r="A19" i="2"/>
  <c r="A21" i="2"/>
  <c r="A31" i="2"/>
  <c r="A17" i="2"/>
  <c r="A23" i="2"/>
  <c r="A30" i="2"/>
  <c r="A25" i="2"/>
  <c r="A16" i="2"/>
  <c r="A32" i="2"/>
  <c r="A20" i="2"/>
  <c r="A29" i="2"/>
  <c r="A15" i="2"/>
  <c r="A18" i="2"/>
  <c r="A34" i="2"/>
  <c r="A11" i="2"/>
</calcChain>
</file>

<file path=xl/sharedStrings.xml><?xml version="1.0" encoding="utf-8"?>
<sst xmlns="http://schemas.openxmlformats.org/spreadsheetml/2006/main" count="171" uniqueCount="81">
  <si>
    <t>239D207A</t>
  </si>
  <si>
    <t>Name</t>
  </si>
  <si>
    <t>SheetRef</t>
  </si>
  <si>
    <t>GenInfo</t>
  </si>
  <si>
    <t>Def. Link</t>
  </si>
  <si>
    <t>EXT REFS</t>
  </si>
  <si>
    <t>Def. Form</t>
  </si>
  <si>
    <t>Calc Macro</t>
  </si>
  <si>
    <t>Highest#</t>
  </si>
  <si>
    <t>Ptree1 Compatibility</t>
  </si>
  <si>
    <t>Model GUID</t>
  </si>
  <si>
    <t>Eval. Function</t>
  </si>
  <si>
    <t>Creation Version</t>
  </si>
  <si>
    <t>Required Version</t>
  </si>
  <si>
    <t>Recommended Version</t>
  </si>
  <si>
    <t>Last Modified By Version</t>
  </si>
  <si>
    <t>Output Label</t>
  </si>
  <si>
    <t>Output Value NF</t>
  </si>
  <si>
    <t>Output Prob NF</t>
  </si>
  <si>
    <t>Input Value NF</t>
  </si>
  <si>
    <t>Input Prob NF</t>
  </si>
  <si>
    <t>R-Value Ref.</t>
  </si>
  <si>
    <t>Anchor Cell</t>
  </si>
  <si>
    <t>Branch Name</t>
  </si>
  <si>
    <t>bformtype</t>
  </si>
  <si>
    <t>valformula</t>
  </si>
  <si>
    <t>pbformula</t>
  </si>
  <si>
    <t>distribution</t>
  </si>
  <si>
    <t>cumPayoffFunction</t>
  </si>
  <si>
    <t>link</t>
  </si>
  <si>
    <t>ENDNODEFORMULA</t>
  </si>
  <si>
    <t>VAL</t>
  </si>
  <si>
    <t>PB</t>
  </si>
  <si>
    <t>IntRefs</t>
  </si>
  <si>
    <t>RefRefs</t>
  </si>
  <si>
    <t>NodeNames</t>
  </si>
  <si>
    <t>Collapsed</t>
  </si>
  <si>
    <t>=</t>
  </si>
  <si>
    <t>8.12.0</t>
  </si>
  <si>
    <t>5.0.0</t>
  </si>
  <si>
    <t>&lt;NF&gt;</t>
  </si>
  <si>
    <t>Automatic</t>
  </si>
  <si>
    <t/>
  </si>
  <si>
    <t>DEFAULT</t>
  </si>
  <si>
    <t>0</t>
  </si>
  <si>
    <t>Interplants</t>
  </si>
  <si>
    <t>Decision</t>
  </si>
  <si>
    <t>4,0,0,0,1,0,0</t>
  </si>
  <si>
    <t>2,0,0,2,2,3,0,0,0</t>
  </si>
  <si>
    <t>Sell</t>
  </si>
  <si>
    <t>1,0,0,3,4,5,6,1,0,0</t>
  </si>
  <si>
    <t>Inexperience</t>
  </si>
  <si>
    <t>Moderate</t>
  </si>
  <si>
    <t>Costly</t>
  </si>
  <si>
    <t>1,0,0,2,7,8,3,0,0</t>
  </si>
  <si>
    <t>Agreement</t>
  </si>
  <si>
    <t>Dispute</t>
  </si>
  <si>
    <t>1,0,0,2,9,10,3,0,0</t>
  </si>
  <si>
    <t>1,0,0,2,11,12,3,0,0</t>
  </si>
  <si>
    <t>Ion Engine</t>
  </si>
  <si>
    <t>4,0,0,0,7,0,0</t>
  </si>
  <si>
    <t>1,0,0,2,13,14,4,0,0</t>
  </si>
  <si>
    <t>Success</t>
  </si>
  <si>
    <t>Failure</t>
  </si>
  <si>
    <t>1,0,0,2,15,16,4,0,0</t>
  </si>
  <si>
    <t>4,0,0,0,8,0,0</t>
  </si>
  <si>
    <t>1,0,0,2,17,18,5,0,0</t>
  </si>
  <si>
    <t>4,0,0,0,9,0,0</t>
  </si>
  <si>
    <t>1,0,0,2,19,20,5,0,0</t>
  </si>
  <si>
    <t>4,0,0,0,10,0,0</t>
  </si>
  <si>
    <t>1,0,0,2,21,22,6,0,0</t>
  </si>
  <si>
    <t>4,0,0,0,11,0,0</t>
  </si>
  <si>
    <t>1,0,0,2,23,24,6,0,0</t>
  </si>
  <si>
    <t>4,0,0,0,12,0,0</t>
  </si>
  <si>
    <t xml:space="preserve"> </t>
  </si>
  <si>
    <t>Risk Tolerance</t>
  </si>
  <si>
    <t>0,1,1,0,0,Exponential, 0,0,-1,0,-1,-1,.0001</t>
  </si>
  <si>
    <t>Continue Operation</t>
  </si>
  <si>
    <t>Production cost uncertainty</t>
  </si>
  <si>
    <t>Contract/settlement outcomes</t>
  </si>
  <si>
    <t>Technical success/failure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</si>
</sst>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0.00001]0.0###%;[=0]0.0%;0.00E+00"/>
  </numFmts>
  <fonts count="7" x14ac:knownFonts="1">
    <font>
      <sz val="11"/>
      <color theme="1"/>
      <name val="Aptos Narrow"/>
      <family val="2"/>
      <scheme val="minor"/>
    </font>
    <font>
      <b/>
      <sz val="8"/>
      <color rgb="FF00008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008000"/>
      <name val="Aptos Narrow"/>
      <family val="2"/>
      <scheme val="minor"/>
    </font>
    <font>
      <sz val="8"/>
      <color rgb="FF008000"/>
      <name val="Aptos Narrow"/>
      <family val="2"/>
      <scheme val="minor"/>
    </font>
    <font>
      <b/>
      <sz val="8"/>
      <color rgb="FF800000"/>
      <name val="Aptos Narrow"/>
      <family val="2"/>
      <scheme val="minor"/>
    </font>
    <font>
      <sz val="8"/>
      <color rgb="FF8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238887</xdr:colOff>
      <xdr:row>46</xdr:row>
      <xdr:rowOff>177800</xdr:rowOff>
    </xdr:from>
    <xdr:to>
      <xdr:col>5</xdr:col>
      <xdr:colOff>127</xdr:colOff>
      <xdr:row>46</xdr:row>
      <xdr:rowOff>177800</xdr:rowOff>
    </xdr:to>
    <xdr:cxnSp macro="_xll.PtreeEvent_ObjectClick">
      <xdr:nvCxnSpPr>
        <xdr:cNvPr id="287" name="PTObj_DBranchHLine_1_24">
          <a:extLst>
            <a:ext uri="{FF2B5EF4-FFF2-40B4-BE49-F238E27FC236}">
              <a16:creationId xmlns:a16="http://schemas.microsoft.com/office/drawing/2014/main" id="{03F394B9-109C-4123-1F5E-48E4D38B3F90}"/>
            </a:ext>
          </a:extLst>
        </xdr:cNvPr>
        <xdr:cNvCxnSpPr/>
      </xdr:nvCxnSpPr>
      <xdr:spPr>
        <a:xfrm>
          <a:off x="5931027" y="859028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44</xdr:row>
      <xdr:rowOff>172720</xdr:rowOff>
    </xdr:from>
    <xdr:to>
      <xdr:col>4</xdr:col>
      <xdr:colOff>238887</xdr:colOff>
      <xdr:row>46</xdr:row>
      <xdr:rowOff>177800</xdr:rowOff>
    </xdr:to>
    <xdr:cxnSp macro="_xll.PtreeEvent_ObjectClick">
      <xdr:nvCxnSpPr>
        <xdr:cNvPr id="286" name="PTObj_DBranchDLine_1_24">
          <a:extLst>
            <a:ext uri="{FF2B5EF4-FFF2-40B4-BE49-F238E27FC236}">
              <a16:creationId xmlns:a16="http://schemas.microsoft.com/office/drawing/2014/main" id="{91B5DD8B-E6C9-458F-A759-EBE2464F1A56}"/>
            </a:ext>
          </a:extLst>
        </xdr:cNvPr>
        <xdr:cNvCxnSpPr/>
      </xdr:nvCxnSpPr>
      <xdr:spPr>
        <a:xfrm>
          <a:off x="5778627" y="821944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42</xdr:row>
      <xdr:rowOff>177800</xdr:rowOff>
    </xdr:from>
    <xdr:to>
      <xdr:col>5</xdr:col>
      <xdr:colOff>127</xdr:colOff>
      <xdr:row>42</xdr:row>
      <xdr:rowOff>177800</xdr:rowOff>
    </xdr:to>
    <xdr:cxnSp macro="_xll.PtreeEvent_ObjectClick">
      <xdr:nvCxnSpPr>
        <xdr:cNvPr id="283" name="PTObj_DBranchHLine_1_23">
          <a:extLst>
            <a:ext uri="{FF2B5EF4-FFF2-40B4-BE49-F238E27FC236}">
              <a16:creationId xmlns:a16="http://schemas.microsoft.com/office/drawing/2014/main" id="{234A58AA-6FDA-E3D3-4FEB-C1A9AC886C5C}"/>
            </a:ext>
          </a:extLst>
        </xdr:cNvPr>
        <xdr:cNvCxnSpPr/>
      </xdr:nvCxnSpPr>
      <xdr:spPr>
        <a:xfrm>
          <a:off x="5931027" y="785876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42</xdr:row>
      <xdr:rowOff>177800</xdr:rowOff>
    </xdr:from>
    <xdr:to>
      <xdr:col>4</xdr:col>
      <xdr:colOff>238887</xdr:colOff>
      <xdr:row>44</xdr:row>
      <xdr:rowOff>172720</xdr:rowOff>
    </xdr:to>
    <xdr:cxnSp macro="_xll.PtreeEvent_ObjectClick">
      <xdr:nvCxnSpPr>
        <xdr:cNvPr id="282" name="PTObj_DBranchDLine_1_23">
          <a:extLst>
            <a:ext uri="{FF2B5EF4-FFF2-40B4-BE49-F238E27FC236}">
              <a16:creationId xmlns:a16="http://schemas.microsoft.com/office/drawing/2014/main" id="{DB53239D-9E14-1742-69D4-4ECDFC78E0A6}"/>
            </a:ext>
          </a:extLst>
        </xdr:cNvPr>
        <xdr:cNvCxnSpPr/>
      </xdr:nvCxnSpPr>
      <xdr:spPr>
        <a:xfrm flipV="1">
          <a:off x="5778627" y="785876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238887</xdr:colOff>
      <xdr:row>44</xdr:row>
      <xdr:rowOff>177800</xdr:rowOff>
    </xdr:from>
    <xdr:to>
      <xdr:col>4</xdr:col>
      <xdr:colOff>127</xdr:colOff>
      <xdr:row>44</xdr:row>
      <xdr:rowOff>177800</xdr:rowOff>
    </xdr:to>
    <xdr:cxnSp macro="_xll.PtreeEvent_ObjectClick">
      <xdr:nvCxnSpPr>
        <xdr:cNvPr id="279" name="PTObj_DBranchHLine_1_12">
          <a:extLst>
            <a:ext uri="{FF2B5EF4-FFF2-40B4-BE49-F238E27FC236}">
              <a16:creationId xmlns:a16="http://schemas.microsoft.com/office/drawing/2014/main" id="{E2E3CE11-BF5C-1BE3-BB39-A67E1FB6917D}"/>
            </a:ext>
          </a:extLst>
        </xdr:cNvPr>
        <xdr:cNvCxnSpPr/>
      </xdr:nvCxnSpPr>
      <xdr:spPr>
        <a:xfrm>
          <a:off x="4414647" y="785876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86487</xdr:colOff>
      <xdr:row>40</xdr:row>
      <xdr:rowOff>172720</xdr:rowOff>
    </xdr:from>
    <xdr:to>
      <xdr:col>3</xdr:col>
      <xdr:colOff>238887</xdr:colOff>
      <xdr:row>44</xdr:row>
      <xdr:rowOff>177800</xdr:rowOff>
    </xdr:to>
    <xdr:cxnSp macro="_xll.PtreeEvent_ObjectClick">
      <xdr:nvCxnSpPr>
        <xdr:cNvPr id="278" name="PTObj_DBranchDLine_1_12">
          <a:extLst>
            <a:ext uri="{FF2B5EF4-FFF2-40B4-BE49-F238E27FC236}">
              <a16:creationId xmlns:a16="http://schemas.microsoft.com/office/drawing/2014/main" id="{9CB44675-742A-F429-7386-280D3C570EF4}"/>
            </a:ext>
          </a:extLst>
        </xdr:cNvPr>
        <xdr:cNvCxnSpPr/>
      </xdr:nvCxnSpPr>
      <xdr:spPr>
        <a:xfrm>
          <a:off x="4262247" y="748792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38</xdr:row>
      <xdr:rowOff>177800</xdr:rowOff>
    </xdr:from>
    <xdr:to>
      <xdr:col>5</xdr:col>
      <xdr:colOff>127</xdr:colOff>
      <xdr:row>38</xdr:row>
      <xdr:rowOff>177800</xdr:rowOff>
    </xdr:to>
    <xdr:cxnSp macro="_xll.PtreeEvent_ObjectClick">
      <xdr:nvCxnSpPr>
        <xdr:cNvPr id="275" name="PTObj_DBranchHLine_1_22">
          <a:extLst>
            <a:ext uri="{FF2B5EF4-FFF2-40B4-BE49-F238E27FC236}">
              <a16:creationId xmlns:a16="http://schemas.microsoft.com/office/drawing/2014/main" id="{3DABE6ED-F993-C11B-27FE-B8B84722BB97}"/>
            </a:ext>
          </a:extLst>
        </xdr:cNvPr>
        <xdr:cNvCxnSpPr/>
      </xdr:nvCxnSpPr>
      <xdr:spPr>
        <a:xfrm>
          <a:off x="5931027" y="712724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36</xdr:row>
      <xdr:rowOff>172720</xdr:rowOff>
    </xdr:from>
    <xdr:to>
      <xdr:col>4</xdr:col>
      <xdr:colOff>238887</xdr:colOff>
      <xdr:row>38</xdr:row>
      <xdr:rowOff>177800</xdr:rowOff>
    </xdr:to>
    <xdr:cxnSp macro="_xll.PtreeEvent_ObjectClick">
      <xdr:nvCxnSpPr>
        <xdr:cNvPr id="274" name="PTObj_DBranchDLine_1_22">
          <a:extLst>
            <a:ext uri="{FF2B5EF4-FFF2-40B4-BE49-F238E27FC236}">
              <a16:creationId xmlns:a16="http://schemas.microsoft.com/office/drawing/2014/main" id="{A5AFC184-2126-30BA-1851-2825F417B692}"/>
            </a:ext>
          </a:extLst>
        </xdr:cNvPr>
        <xdr:cNvCxnSpPr/>
      </xdr:nvCxnSpPr>
      <xdr:spPr>
        <a:xfrm>
          <a:off x="5778627" y="675640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34</xdr:row>
      <xdr:rowOff>177800</xdr:rowOff>
    </xdr:from>
    <xdr:to>
      <xdr:col>5</xdr:col>
      <xdr:colOff>127</xdr:colOff>
      <xdr:row>34</xdr:row>
      <xdr:rowOff>177800</xdr:rowOff>
    </xdr:to>
    <xdr:cxnSp macro="_xll.PtreeEvent_ObjectClick">
      <xdr:nvCxnSpPr>
        <xdr:cNvPr id="271" name="PTObj_DBranchHLine_1_21">
          <a:extLst>
            <a:ext uri="{FF2B5EF4-FFF2-40B4-BE49-F238E27FC236}">
              <a16:creationId xmlns:a16="http://schemas.microsoft.com/office/drawing/2014/main" id="{BDB54317-6594-4155-EC47-5CEDE1400F9E}"/>
            </a:ext>
          </a:extLst>
        </xdr:cNvPr>
        <xdr:cNvCxnSpPr/>
      </xdr:nvCxnSpPr>
      <xdr:spPr>
        <a:xfrm>
          <a:off x="5931027" y="639572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34</xdr:row>
      <xdr:rowOff>177800</xdr:rowOff>
    </xdr:from>
    <xdr:to>
      <xdr:col>4</xdr:col>
      <xdr:colOff>238887</xdr:colOff>
      <xdr:row>36</xdr:row>
      <xdr:rowOff>172720</xdr:rowOff>
    </xdr:to>
    <xdr:cxnSp macro="_xll.PtreeEvent_ObjectClick">
      <xdr:nvCxnSpPr>
        <xdr:cNvPr id="270" name="PTObj_DBranchDLine_1_21">
          <a:extLst>
            <a:ext uri="{FF2B5EF4-FFF2-40B4-BE49-F238E27FC236}">
              <a16:creationId xmlns:a16="http://schemas.microsoft.com/office/drawing/2014/main" id="{E3EA325A-1F65-8C17-BA53-955C3ED104CD}"/>
            </a:ext>
          </a:extLst>
        </xdr:cNvPr>
        <xdr:cNvCxnSpPr/>
      </xdr:nvCxnSpPr>
      <xdr:spPr>
        <a:xfrm flipV="1">
          <a:off x="5778627" y="639572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238887</xdr:colOff>
      <xdr:row>36</xdr:row>
      <xdr:rowOff>177800</xdr:rowOff>
    </xdr:from>
    <xdr:to>
      <xdr:col>4</xdr:col>
      <xdr:colOff>127</xdr:colOff>
      <xdr:row>36</xdr:row>
      <xdr:rowOff>177800</xdr:rowOff>
    </xdr:to>
    <xdr:cxnSp macro="_xll.PtreeEvent_ObjectClick">
      <xdr:nvCxnSpPr>
        <xdr:cNvPr id="267" name="PTObj_DBranchHLine_1_11">
          <a:extLst>
            <a:ext uri="{FF2B5EF4-FFF2-40B4-BE49-F238E27FC236}">
              <a16:creationId xmlns:a16="http://schemas.microsoft.com/office/drawing/2014/main" id="{22BFD5E1-1572-B680-D25B-3FC61E75636F}"/>
            </a:ext>
          </a:extLst>
        </xdr:cNvPr>
        <xdr:cNvCxnSpPr/>
      </xdr:nvCxnSpPr>
      <xdr:spPr>
        <a:xfrm>
          <a:off x="4414647" y="639572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86487</xdr:colOff>
      <xdr:row>36</xdr:row>
      <xdr:rowOff>177800</xdr:rowOff>
    </xdr:from>
    <xdr:to>
      <xdr:col>3</xdr:col>
      <xdr:colOff>238887</xdr:colOff>
      <xdr:row>40</xdr:row>
      <xdr:rowOff>172720</xdr:rowOff>
    </xdr:to>
    <xdr:cxnSp macro="_xll.PtreeEvent_ObjectClick">
      <xdr:nvCxnSpPr>
        <xdr:cNvPr id="266" name="PTObj_DBranchDLine_1_11">
          <a:extLst>
            <a:ext uri="{FF2B5EF4-FFF2-40B4-BE49-F238E27FC236}">
              <a16:creationId xmlns:a16="http://schemas.microsoft.com/office/drawing/2014/main" id="{05CB6276-50FE-5E90-7A23-817F891ECFF3}"/>
            </a:ext>
          </a:extLst>
        </xdr:cNvPr>
        <xdr:cNvCxnSpPr/>
      </xdr:nvCxnSpPr>
      <xdr:spPr>
        <a:xfrm flipV="1">
          <a:off x="4262247" y="639572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32</xdr:row>
      <xdr:rowOff>177800</xdr:rowOff>
    </xdr:from>
    <xdr:to>
      <xdr:col>5</xdr:col>
      <xdr:colOff>127</xdr:colOff>
      <xdr:row>32</xdr:row>
      <xdr:rowOff>177800</xdr:rowOff>
    </xdr:to>
    <xdr:cxnSp macro="_xll.PtreeEvent_ObjectClick">
      <xdr:nvCxnSpPr>
        <xdr:cNvPr id="127" name="PTObj_DBranchHLine_1_20">
          <a:extLst>
            <a:ext uri="{FF2B5EF4-FFF2-40B4-BE49-F238E27FC236}">
              <a16:creationId xmlns:a16="http://schemas.microsoft.com/office/drawing/2014/main" id="{62B28399-78A9-570F-5174-A8C4B7DB22FB}"/>
            </a:ext>
          </a:extLst>
        </xdr:cNvPr>
        <xdr:cNvCxnSpPr/>
      </xdr:nvCxnSpPr>
      <xdr:spPr>
        <a:xfrm>
          <a:off x="5923407" y="602996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30</xdr:row>
      <xdr:rowOff>172720</xdr:rowOff>
    </xdr:from>
    <xdr:to>
      <xdr:col>4</xdr:col>
      <xdr:colOff>238887</xdr:colOff>
      <xdr:row>32</xdr:row>
      <xdr:rowOff>177800</xdr:rowOff>
    </xdr:to>
    <xdr:cxnSp macro="_xll.PtreeEvent_ObjectClick">
      <xdr:nvCxnSpPr>
        <xdr:cNvPr id="126" name="PTObj_DBranchDLine_1_20">
          <a:extLst>
            <a:ext uri="{FF2B5EF4-FFF2-40B4-BE49-F238E27FC236}">
              <a16:creationId xmlns:a16="http://schemas.microsoft.com/office/drawing/2014/main" id="{2DE1B373-FBFF-6AA2-DBA6-AB718030091F}"/>
            </a:ext>
          </a:extLst>
        </xdr:cNvPr>
        <xdr:cNvCxnSpPr/>
      </xdr:nvCxnSpPr>
      <xdr:spPr>
        <a:xfrm>
          <a:off x="5771007" y="565912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28</xdr:row>
      <xdr:rowOff>177800</xdr:rowOff>
    </xdr:from>
    <xdr:to>
      <xdr:col>5</xdr:col>
      <xdr:colOff>127</xdr:colOff>
      <xdr:row>28</xdr:row>
      <xdr:rowOff>177800</xdr:rowOff>
    </xdr:to>
    <xdr:cxnSp macro="_xll.PtreeEvent_ObjectClick">
      <xdr:nvCxnSpPr>
        <xdr:cNvPr id="123" name="PTObj_DBranchHLine_1_19">
          <a:extLst>
            <a:ext uri="{FF2B5EF4-FFF2-40B4-BE49-F238E27FC236}">
              <a16:creationId xmlns:a16="http://schemas.microsoft.com/office/drawing/2014/main" id="{17B798A0-C9E8-9CF7-3D9C-29DF73B1E7F2}"/>
            </a:ext>
          </a:extLst>
        </xdr:cNvPr>
        <xdr:cNvCxnSpPr/>
      </xdr:nvCxnSpPr>
      <xdr:spPr>
        <a:xfrm>
          <a:off x="5923407" y="529844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28</xdr:row>
      <xdr:rowOff>177800</xdr:rowOff>
    </xdr:from>
    <xdr:to>
      <xdr:col>4</xdr:col>
      <xdr:colOff>238887</xdr:colOff>
      <xdr:row>30</xdr:row>
      <xdr:rowOff>172720</xdr:rowOff>
    </xdr:to>
    <xdr:cxnSp macro="_xll.PtreeEvent_ObjectClick">
      <xdr:nvCxnSpPr>
        <xdr:cNvPr id="122" name="PTObj_DBranchDLine_1_19">
          <a:extLst>
            <a:ext uri="{FF2B5EF4-FFF2-40B4-BE49-F238E27FC236}">
              <a16:creationId xmlns:a16="http://schemas.microsoft.com/office/drawing/2014/main" id="{758D48D3-284C-CAB8-B9CF-00DB1CD0DA31}"/>
            </a:ext>
          </a:extLst>
        </xdr:cNvPr>
        <xdr:cNvCxnSpPr/>
      </xdr:nvCxnSpPr>
      <xdr:spPr>
        <a:xfrm flipV="1">
          <a:off x="5771007" y="529844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238887</xdr:colOff>
      <xdr:row>30</xdr:row>
      <xdr:rowOff>177800</xdr:rowOff>
    </xdr:from>
    <xdr:to>
      <xdr:col>4</xdr:col>
      <xdr:colOff>127</xdr:colOff>
      <xdr:row>30</xdr:row>
      <xdr:rowOff>177800</xdr:rowOff>
    </xdr:to>
    <xdr:cxnSp macro="_xll.PtreeEvent_ObjectClick">
      <xdr:nvCxnSpPr>
        <xdr:cNvPr id="119" name="PTObj_DBranchHLine_1_10">
          <a:extLst>
            <a:ext uri="{FF2B5EF4-FFF2-40B4-BE49-F238E27FC236}">
              <a16:creationId xmlns:a16="http://schemas.microsoft.com/office/drawing/2014/main" id="{F5C27544-9037-2ACE-2ADE-534620CF9E33}"/>
            </a:ext>
          </a:extLst>
        </xdr:cNvPr>
        <xdr:cNvCxnSpPr/>
      </xdr:nvCxnSpPr>
      <xdr:spPr>
        <a:xfrm>
          <a:off x="4414647" y="566420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86487</xdr:colOff>
      <xdr:row>26</xdr:row>
      <xdr:rowOff>172720</xdr:rowOff>
    </xdr:from>
    <xdr:to>
      <xdr:col>3</xdr:col>
      <xdr:colOff>238887</xdr:colOff>
      <xdr:row>30</xdr:row>
      <xdr:rowOff>177800</xdr:rowOff>
    </xdr:to>
    <xdr:cxnSp macro="_xll.PtreeEvent_ObjectClick">
      <xdr:nvCxnSpPr>
        <xdr:cNvPr id="118" name="PTObj_DBranchDLine_1_10">
          <a:extLst>
            <a:ext uri="{FF2B5EF4-FFF2-40B4-BE49-F238E27FC236}">
              <a16:creationId xmlns:a16="http://schemas.microsoft.com/office/drawing/2014/main" id="{FF2E6E70-0328-C952-8ACF-EFDE565F6041}"/>
            </a:ext>
          </a:extLst>
        </xdr:cNvPr>
        <xdr:cNvCxnSpPr/>
      </xdr:nvCxnSpPr>
      <xdr:spPr>
        <a:xfrm>
          <a:off x="4262247" y="4927600"/>
          <a:ext cx="152400" cy="73660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24</xdr:row>
      <xdr:rowOff>177800</xdr:rowOff>
    </xdr:from>
    <xdr:to>
      <xdr:col>5</xdr:col>
      <xdr:colOff>127</xdr:colOff>
      <xdr:row>24</xdr:row>
      <xdr:rowOff>177800</xdr:rowOff>
    </xdr:to>
    <xdr:cxnSp macro="_xll.PtreeEvent_ObjectClick">
      <xdr:nvCxnSpPr>
        <xdr:cNvPr id="111" name="PTObj_DBranchHLine_1_18">
          <a:extLst>
            <a:ext uri="{FF2B5EF4-FFF2-40B4-BE49-F238E27FC236}">
              <a16:creationId xmlns:a16="http://schemas.microsoft.com/office/drawing/2014/main" id="{E61D59EA-0608-5951-512D-5AA89938C4C1}"/>
            </a:ext>
          </a:extLst>
        </xdr:cNvPr>
        <xdr:cNvCxnSpPr/>
      </xdr:nvCxnSpPr>
      <xdr:spPr>
        <a:xfrm>
          <a:off x="5923407" y="456692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22</xdr:row>
      <xdr:rowOff>172720</xdr:rowOff>
    </xdr:from>
    <xdr:to>
      <xdr:col>4</xdr:col>
      <xdr:colOff>238887</xdr:colOff>
      <xdr:row>24</xdr:row>
      <xdr:rowOff>177800</xdr:rowOff>
    </xdr:to>
    <xdr:cxnSp macro="_xll.PtreeEvent_ObjectClick">
      <xdr:nvCxnSpPr>
        <xdr:cNvPr id="110" name="PTObj_DBranchDLine_1_18">
          <a:extLst>
            <a:ext uri="{FF2B5EF4-FFF2-40B4-BE49-F238E27FC236}">
              <a16:creationId xmlns:a16="http://schemas.microsoft.com/office/drawing/2014/main" id="{7BC626F6-6634-8ADC-12DE-1592789B60EB}"/>
            </a:ext>
          </a:extLst>
        </xdr:cNvPr>
        <xdr:cNvCxnSpPr/>
      </xdr:nvCxnSpPr>
      <xdr:spPr>
        <a:xfrm>
          <a:off x="5771007" y="419608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20</xdr:row>
      <xdr:rowOff>177800</xdr:rowOff>
    </xdr:from>
    <xdr:to>
      <xdr:col>5</xdr:col>
      <xdr:colOff>127</xdr:colOff>
      <xdr:row>20</xdr:row>
      <xdr:rowOff>177800</xdr:rowOff>
    </xdr:to>
    <xdr:cxnSp macro="_xll.PtreeEvent_ObjectClick">
      <xdr:nvCxnSpPr>
        <xdr:cNvPr id="107" name="PTObj_DBranchHLine_1_17">
          <a:extLst>
            <a:ext uri="{FF2B5EF4-FFF2-40B4-BE49-F238E27FC236}">
              <a16:creationId xmlns:a16="http://schemas.microsoft.com/office/drawing/2014/main" id="{9794B516-9A4F-428E-658B-8A385B07D4C0}"/>
            </a:ext>
          </a:extLst>
        </xdr:cNvPr>
        <xdr:cNvCxnSpPr/>
      </xdr:nvCxnSpPr>
      <xdr:spPr>
        <a:xfrm>
          <a:off x="5923407" y="383540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20</xdr:row>
      <xdr:rowOff>177800</xdr:rowOff>
    </xdr:from>
    <xdr:to>
      <xdr:col>4</xdr:col>
      <xdr:colOff>238887</xdr:colOff>
      <xdr:row>22</xdr:row>
      <xdr:rowOff>172720</xdr:rowOff>
    </xdr:to>
    <xdr:cxnSp macro="_xll.PtreeEvent_ObjectClick">
      <xdr:nvCxnSpPr>
        <xdr:cNvPr id="106" name="PTObj_DBranchDLine_1_17">
          <a:extLst>
            <a:ext uri="{FF2B5EF4-FFF2-40B4-BE49-F238E27FC236}">
              <a16:creationId xmlns:a16="http://schemas.microsoft.com/office/drawing/2014/main" id="{24D39C45-9CF2-5C59-73F1-2F9C050FFE44}"/>
            </a:ext>
          </a:extLst>
        </xdr:cNvPr>
        <xdr:cNvCxnSpPr/>
      </xdr:nvCxnSpPr>
      <xdr:spPr>
        <a:xfrm flipV="1">
          <a:off x="5771007" y="383540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238887</xdr:colOff>
      <xdr:row>22</xdr:row>
      <xdr:rowOff>177800</xdr:rowOff>
    </xdr:from>
    <xdr:to>
      <xdr:col>4</xdr:col>
      <xdr:colOff>127</xdr:colOff>
      <xdr:row>22</xdr:row>
      <xdr:rowOff>177800</xdr:rowOff>
    </xdr:to>
    <xdr:cxnSp macro="_xll.PtreeEvent_ObjectClick">
      <xdr:nvCxnSpPr>
        <xdr:cNvPr id="103" name="PTObj_DBranchHLine_1_9">
          <a:extLst>
            <a:ext uri="{FF2B5EF4-FFF2-40B4-BE49-F238E27FC236}">
              <a16:creationId xmlns:a16="http://schemas.microsoft.com/office/drawing/2014/main" id="{B5B5C3FB-CE60-6951-8839-AA949FF2EB50}"/>
            </a:ext>
          </a:extLst>
        </xdr:cNvPr>
        <xdr:cNvCxnSpPr/>
      </xdr:nvCxnSpPr>
      <xdr:spPr>
        <a:xfrm>
          <a:off x="4414647" y="420116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86487</xdr:colOff>
      <xdr:row>22</xdr:row>
      <xdr:rowOff>177800</xdr:rowOff>
    </xdr:from>
    <xdr:to>
      <xdr:col>3</xdr:col>
      <xdr:colOff>238887</xdr:colOff>
      <xdr:row>26</xdr:row>
      <xdr:rowOff>172720</xdr:rowOff>
    </xdr:to>
    <xdr:cxnSp macro="_xll.PtreeEvent_ObjectClick">
      <xdr:nvCxnSpPr>
        <xdr:cNvPr id="102" name="PTObj_DBranchDLine_1_9">
          <a:extLst>
            <a:ext uri="{FF2B5EF4-FFF2-40B4-BE49-F238E27FC236}">
              <a16:creationId xmlns:a16="http://schemas.microsoft.com/office/drawing/2014/main" id="{E5106B59-F2C6-F4CE-1852-D1614614DCDC}"/>
            </a:ext>
          </a:extLst>
        </xdr:cNvPr>
        <xdr:cNvCxnSpPr/>
      </xdr:nvCxnSpPr>
      <xdr:spPr>
        <a:xfrm flipV="1">
          <a:off x="4262247" y="4201160"/>
          <a:ext cx="152400" cy="7264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16</xdr:row>
      <xdr:rowOff>177800</xdr:rowOff>
    </xdr:from>
    <xdr:to>
      <xdr:col>5</xdr:col>
      <xdr:colOff>127</xdr:colOff>
      <xdr:row>16</xdr:row>
      <xdr:rowOff>177800</xdr:rowOff>
    </xdr:to>
    <xdr:cxnSp macro="_xll.PtreeEvent_ObjectClick">
      <xdr:nvCxnSpPr>
        <xdr:cNvPr id="95" name="PTObj_DBranchHLine_1_16">
          <a:extLst>
            <a:ext uri="{FF2B5EF4-FFF2-40B4-BE49-F238E27FC236}">
              <a16:creationId xmlns:a16="http://schemas.microsoft.com/office/drawing/2014/main" id="{D51F7AD7-81B1-5731-BDD2-86CBFABBEBC3}"/>
            </a:ext>
          </a:extLst>
        </xdr:cNvPr>
        <xdr:cNvCxnSpPr/>
      </xdr:nvCxnSpPr>
      <xdr:spPr>
        <a:xfrm>
          <a:off x="5923407" y="310388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14</xdr:row>
      <xdr:rowOff>172720</xdr:rowOff>
    </xdr:from>
    <xdr:to>
      <xdr:col>4</xdr:col>
      <xdr:colOff>238887</xdr:colOff>
      <xdr:row>16</xdr:row>
      <xdr:rowOff>177800</xdr:rowOff>
    </xdr:to>
    <xdr:cxnSp macro="_xll.PtreeEvent_ObjectClick">
      <xdr:nvCxnSpPr>
        <xdr:cNvPr id="94" name="PTObj_DBranchDLine_1_16">
          <a:extLst>
            <a:ext uri="{FF2B5EF4-FFF2-40B4-BE49-F238E27FC236}">
              <a16:creationId xmlns:a16="http://schemas.microsoft.com/office/drawing/2014/main" id="{4BF7A783-BCFD-9A99-0B14-7575B43D6F84}"/>
            </a:ext>
          </a:extLst>
        </xdr:cNvPr>
        <xdr:cNvCxnSpPr/>
      </xdr:nvCxnSpPr>
      <xdr:spPr>
        <a:xfrm>
          <a:off x="5771007" y="273304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12</xdr:row>
      <xdr:rowOff>177800</xdr:rowOff>
    </xdr:from>
    <xdr:to>
      <xdr:col>5</xdr:col>
      <xdr:colOff>127</xdr:colOff>
      <xdr:row>12</xdr:row>
      <xdr:rowOff>177800</xdr:rowOff>
    </xdr:to>
    <xdr:cxnSp macro="_xll.PtreeEvent_ObjectClick">
      <xdr:nvCxnSpPr>
        <xdr:cNvPr id="91" name="PTObj_DBranchHLine_1_15">
          <a:extLst>
            <a:ext uri="{FF2B5EF4-FFF2-40B4-BE49-F238E27FC236}">
              <a16:creationId xmlns:a16="http://schemas.microsoft.com/office/drawing/2014/main" id="{E4D512E8-C304-6989-416C-A5AC1514C04B}"/>
            </a:ext>
          </a:extLst>
        </xdr:cNvPr>
        <xdr:cNvCxnSpPr/>
      </xdr:nvCxnSpPr>
      <xdr:spPr>
        <a:xfrm>
          <a:off x="5923407" y="237236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12</xdr:row>
      <xdr:rowOff>177800</xdr:rowOff>
    </xdr:from>
    <xdr:to>
      <xdr:col>4</xdr:col>
      <xdr:colOff>238887</xdr:colOff>
      <xdr:row>14</xdr:row>
      <xdr:rowOff>172720</xdr:rowOff>
    </xdr:to>
    <xdr:cxnSp macro="_xll.PtreeEvent_ObjectClick">
      <xdr:nvCxnSpPr>
        <xdr:cNvPr id="90" name="PTObj_DBranchDLine_1_15">
          <a:extLst>
            <a:ext uri="{FF2B5EF4-FFF2-40B4-BE49-F238E27FC236}">
              <a16:creationId xmlns:a16="http://schemas.microsoft.com/office/drawing/2014/main" id="{C3E40270-FDDF-E4BD-22A5-1DB5FFC01C42}"/>
            </a:ext>
          </a:extLst>
        </xdr:cNvPr>
        <xdr:cNvCxnSpPr/>
      </xdr:nvCxnSpPr>
      <xdr:spPr>
        <a:xfrm flipV="1">
          <a:off x="5771007" y="237236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238887</xdr:colOff>
      <xdr:row>14</xdr:row>
      <xdr:rowOff>177800</xdr:rowOff>
    </xdr:from>
    <xdr:to>
      <xdr:col>4</xdr:col>
      <xdr:colOff>127</xdr:colOff>
      <xdr:row>14</xdr:row>
      <xdr:rowOff>177800</xdr:rowOff>
    </xdr:to>
    <xdr:cxnSp macro="_xll.PtreeEvent_ObjectClick">
      <xdr:nvCxnSpPr>
        <xdr:cNvPr id="87" name="PTObj_DBranchHLine_1_8">
          <a:extLst>
            <a:ext uri="{FF2B5EF4-FFF2-40B4-BE49-F238E27FC236}">
              <a16:creationId xmlns:a16="http://schemas.microsoft.com/office/drawing/2014/main" id="{E43DAB95-B558-C3D5-FAB2-386479701CB9}"/>
            </a:ext>
          </a:extLst>
        </xdr:cNvPr>
        <xdr:cNvCxnSpPr/>
      </xdr:nvCxnSpPr>
      <xdr:spPr>
        <a:xfrm>
          <a:off x="4414647" y="273812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86487</xdr:colOff>
      <xdr:row>10</xdr:row>
      <xdr:rowOff>172720</xdr:rowOff>
    </xdr:from>
    <xdr:to>
      <xdr:col>3</xdr:col>
      <xdr:colOff>238887</xdr:colOff>
      <xdr:row>14</xdr:row>
      <xdr:rowOff>177800</xdr:rowOff>
    </xdr:to>
    <xdr:cxnSp macro="_xll.PtreeEvent_ObjectClick">
      <xdr:nvCxnSpPr>
        <xdr:cNvPr id="86" name="PTObj_DBranchDLine_1_8">
          <a:extLst>
            <a:ext uri="{FF2B5EF4-FFF2-40B4-BE49-F238E27FC236}">
              <a16:creationId xmlns:a16="http://schemas.microsoft.com/office/drawing/2014/main" id="{2D37C7E7-AD3A-D8C6-FADA-53BB9EF94350}"/>
            </a:ext>
          </a:extLst>
        </xdr:cNvPr>
        <xdr:cNvCxnSpPr/>
      </xdr:nvCxnSpPr>
      <xdr:spPr>
        <a:xfrm>
          <a:off x="4262247" y="2001520"/>
          <a:ext cx="152400" cy="73660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8</xdr:row>
      <xdr:rowOff>177800</xdr:rowOff>
    </xdr:from>
    <xdr:to>
      <xdr:col>5</xdr:col>
      <xdr:colOff>127</xdr:colOff>
      <xdr:row>8</xdr:row>
      <xdr:rowOff>177800</xdr:rowOff>
    </xdr:to>
    <xdr:cxnSp macro="_xll.PtreeEvent_ObjectClick">
      <xdr:nvCxnSpPr>
        <xdr:cNvPr id="79" name="PTObj_DBranchHLine_1_14">
          <a:extLst>
            <a:ext uri="{FF2B5EF4-FFF2-40B4-BE49-F238E27FC236}">
              <a16:creationId xmlns:a16="http://schemas.microsoft.com/office/drawing/2014/main" id="{28682B23-227A-887A-229E-8B0DDDABBD8D}"/>
            </a:ext>
          </a:extLst>
        </xdr:cNvPr>
        <xdr:cNvCxnSpPr/>
      </xdr:nvCxnSpPr>
      <xdr:spPr>
        <a:xfrm>
          <a:off x="5923407" y="1640840"/>
          <a:ext cx="113284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6</xdr:row>
      <xdr:rowOff>172720</xdr:rowOff>
    </xdr:from>
    <xdr:to>
      <xdr:col>4</xdr:col>
      <xdr:colOff>238887</xdr:colOff>
      <xdr:row>8</xdr:row>
      <xdr:rowOff>177800</xdr:rowOff>
    </xdr:to>
    <xdr:cxnSp macro="_xll.PtreeEvent_ObjectClick">
      <xdr:nvCxnSpPr>
        <xdr:cNvPr id="78" name="PTObj_DBranchDLine_1_14">
          <a:extLst>
            <a:ext uri="{FF2B5EF4-FFF2-40B4-BE49-F238E27FC236}">
              <a16:creationId xmlns:a16="http://schemas.microsoft.com/office/drawing/2014/main" id="{A7F30C75-9F62-6610-D9DD-8E2B47FBFB9E}"/>
            </a:ext>
          </a:extLst>
        </xdr:cNvPr>
        <xdr:cNvCxnSpPr/>
      </xdr:nvCxnSpPr>
      <xdr:spPr>
        <a:xfrm>
          <a:off x="5771007" y="127000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238887</xdr:colOff>
      <xdr:row>4</xdr:row>
      <xdr:rowOff>177800</xdr:rowOff>
    </xdr:from>
    <xdr:to>
      <xdr:col>5</xdr:col>
      <xdr:colOff>127</xdr:colOff>
      <xdr:row>4</xdr:row>
      <xdr:rowOff>177800</xdr:rowOff>
    </xdr:to>
    <xdr:cxnSp macro="_xll.PtreeEvent_ObjectClick">
      <xdr:nvCxnSpPr>
        <xdr:cNvPr id="75" name="PTObj_DBranchHLine_1_13">
          <a:extLst>
            <a:ext uri="{FF2B5EF4-FFF2-40B4-BE49-F238E27FC236}">
              <a16:creationId xmlns:a16="http://schemas.microsoft.com/office/drawing/2014/main" id="{7A588C2F-A874-D1DF-032F-9C60048AE8C1}"/>
            </a:ext>
          </a:extLst>
        </xdr:cNvPr>
        <xdr:cNvCxnSpPr/>
      </xdr:nvCxnSpPr>
      <xdr:spPr>
        <a:xfrm>
          <a:off x="5923407" y="909320"/>
          <a:ext cx="91186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86487</xdr:colOff>
      <xdr:row>4</xdr:row>
      <xdr:rowOff>177800</xdr:rowOff>
    </xdr:from>
    <xdr:to>
      <xdr:col>4</xdr:col>
      <xdr:colOff>238887</xdr:colOff>
      <xdr:row>6</xdr:row>
      <xdr:rowOff>172720</xdr:rowOff>
    </xdr:to>
    <xdr:cxnSp macro="_xll.PtreeEvent_ObjectClick">
      <xdr:nvCxnSpPr>
        <xdr:cNvPr id="74" name="PTObj_DBranchDLine_1_13">
          <a:extLst>
            <a:ext uri="{FF2B5EF4-FFF2-40B4-BE49-F238E27FC236}">
              <a16:creationId xmlns:a16="http://schemas.microsoft.com/office/drawing/2014/main" id="{236110DD-8B4E-81A7-2FCD-1296C3E6CBB9}"/>
            </a:ext>
          </a:extLst>
        </xdr:cNvPr>
        <xdr:cNvCxnSpPr/>
      </xdr:nvCxnSpPr>
      <xdr:spPr>
        <a:xfrm flipV="1">
          <a:off x="5771007" y="90932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238887</xdr:colOff>
      <xdr:row>6</xdr:row>
      <xdr:rowOff>177800</xdr:rowOff>
    </xdr:from>
    <xdr:to>
      <xdr:col>4</xdr:col>
      <xdr:colOff>127</xdr:colOff>
      <xdr:row>6</xdr:row>
      <xdr:rowOff>177800</xdr:rowOff>
    </xdr:to>
    <xdr:cxnSp macro="_xll.PtreeEvent_ObjectClick">
      <xdr:nvCxnSpPr>
        <xdr:cNvPr id="71" name="PTObj_DBranchHLine_1_7">
          <a:extLst>
            <a:ext uri="{FF2B5EF4-FFF2-40B4-BE49-F238E27FC236}">
              <a16:creationId xmlns:a16="http://schemas.microsoft.com/office/drawing/2014/main" id="{87D79DE3-27CB-5328-1255-1CB8F62A7562}"/>
            </a:ext>
          </a:extLst>
        </xdr:cNvPr>
        <xdr:cNvCxnSpPr/>
      </xdr:nvCxnSpPr>
      <xdr:spPr>
        <a:xfrm>
          <a:off x="4414647" y="90932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86487</xdr:colOff>
      <xdr:row>6</xdr:row>
      <xdr:rowOff>177800</xdr:rowOff>
    </xdr:from>
    <xdr:to>
      <xdr:col>3</xdr:col>
      <xdr:colOff>238887</xdr:colOff>
      <xdr:row>10</xdr:row>
      <xdr:rowOff>172720</xdr:rowOff>
    </xdr:to>
    <xdr:cxnSp macro="_xll.PtreeEvent_ObjectClick">
      <xdr:nvCxnSpPr>
        <xdr:cNvPr id="70" name="PTObj_DBranchDLine_1_7">
          <a:extLst>
            <a:ext uri="{FF2B5EF4-FFF2-40B4-BE49-F238E27FC236}">
              <a16:creationId xmlns:a16="http://schemas.microsoft.com/office/drawing/2014/main" id="{2BB257D7-E279-8C30-AB3F-30E5E6A6206D}"/>
            </a:ext>
          </a:extLst>
        </xdr:cNvPr>
        <xdr:cNvCxnSpPr/>
      </xdr:nvCxnSpPr>
      <xdr:spPr>
        <a:xfrm flipV="1">
          <a:off x="4262247" y="90932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238887</xdr:colOff>
      <xdr:row>40</xdr:row>
      <xdr:rowOff>177800</xdr:rowOff>
    </xdr:from>
    <xdr:to>
      <xdr:col>3</xdr:col>
      <xdr:colOff>127</xdr:colOff>
      <xdr:row>40</xdr:row>
      <xdr:rowOff>177800</xdr:rowOff>
    </xdr:to>
    <xdr:cxnSp macro="_xll.PtreeEvent_ObjectClick">
      <xdr:nvCxnSpPr>
        <xdr:cNvPr id="59" name="PTObj_DBranchHLine_1_6">
          <a:extLst>
            <a:ext uri="{FF2B5EF4-FFF2-40B4-BE49-F238E27FC236}">
              <a16:creationId xmlns:a16="http://schemas.microsoft.com/office/drawing/2014/main" id="{2851D402-3B81-68A5-7C55-EC7D0230BB6E}"/>
            </a:ext>
          </a:extLst>
        </xdr:cNvPr>
        <xdr:cNvCxnSpPr/>
      </xdr:nvCxnSpPr>
      <xdr:spPr>
        <a:xfrm>
          <a:off x="2898267" y="383540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86487</xdr:colOff>
      <xdr:row>18</xdr:row>
      <xdr:rowOff>172720</xdr:rowOff>
    </xdr:from>
    <xdr:to>
      <xdr:col>2</xdr:col>
      <xdr:colOff>238887</xdr:colOff>
      <xdr:row>40</xdr:row>
      <xdr:rowOff>177800</xdr:rowOff>
    </xdr:to>
    <xdr:cxnSp macro="_xll.PtreeEvent_ObjectClick">
      <xdr:nvCxnSpPr>
        <xdr:cNvPr id="58" name="PTObj_DBranchDLine_1_6">
          <a:extLst>
            <a:ext uri="{FF2B5EF4-FFF2-40B4-BE49-F238E27FC236}">
              <a16:creationId xmlns:a16="http://schemas.microsoft.com/office/drawing/2014/main" id="{F95DDF61-9842-BD47-5B15-B926383A9DBE}"/>
            </a:ext>
          </a:extLst>
        </xdr:cNvPr>
        <xdr:cNvCxnSpPr/>
      </xdr:nvCxnSpPr>
      <xdr:spPr>
        <a:xfrm>
          <a:off x="2745867" y="2001520"/>
          <a:ext cx="152400" cy="18338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238887</xdr:colOff>
      <xdr:row>26</xdr:row>
      <xdr:rowOff>177800</xdr:rowOff>
    </xdr:from>
    <xdr:to>
      <xdr:col>3</xdr:col>
      <xdr:colOff>127</xdr:colOff>
      <xdr:row>26</xdr:row>
      <xdr:rowOff>177800</xdr:rowOff>
    </xdr:to>
    <xdr:cxnSp macro="_xll.PtreeEvent_ObjectClick">
      <xdr:nvCxnSpPr>
        <xdr:cNvPr id="43" name="PTObj_DBranchHLine_1_5">
          <a:extLst>
            <a:ext uri="{FF2B5EF4-FFF2-40B4-BE49-F238E27FC236}">
              <a16:creationId xmlns:a16="http://schemas.microsoft.com/office/drawing/2014/main" id="{A57F5054-82A4-FBB0-779A-32A8736B779D}"/>
            </a:ext>
          </a:extLst>
        </xdr:cNvPr>
        <xdr:cNvCxnSpPr/>
      </xdr:nvCxnSpPr>
      <xdr:spPr>
        <a:xfrm>
          <a:off x="2898267" y="273812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86487</xdr:colOff>
      <xdr:row>18</xdr:row>
      <xdr:rowOff>172720</xdr:rowOff>
    </xdr:from>
    <xdr:to>
      <xdr:col>2</xdr:col>
      <xdr:colOff>238887</xdr:colOff>
      <xdr:row>26</xdr:row>
      <xdr:rowOff>177800</xdr:rowOff>
    </xdr:to>
    <xdr:cxnSp macro="_xll.PtreeEvent_ObjectClick">
      <xdr:nvCxnSpPr>
        <xdr:cNvPr id="42" name="PTObj_DBranchDLine_1_5">
          <a:extLst>
            <a:ext uri="{FF2B5EF4-FFF2-40B4-BE49-F238E27FC236}">
              <a16:creationId xmlns:a16="http://schemas.microsoft.com/office/drawing/2014/main" id="{88FDA093-F57B-39B3-AE4D-0DCEF12348FC}"/>
            </a:ext>
          </a:extLst>
        </xdr:cNvPr>
        <xdr:cNvCxnSpPr/>
      </xdr:nvCxnSpPr>
      <xdr:spPr>
        <a:xfrm>
          <a:off x="2745867" y="2001520"/>
          <a:ext cx="152400" cy="73660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238887</xdr:colOff>
      <xdr:row>10</xdr:row>
      <xdr:rowOff>177800</xdr:rowOff>
    </xdr:from>
    <xdr:to>
      <xdr:col>3</xdr:col>
      <xdr:colOff>127</xdr:colOff>
      <xdr:row>10</xdr:row>
      <xdr:rowOff>177800</xdr:rowOff>
    </xdr:to>
    <xdr:cxnSp macro="_xll.PtreeEvent_ObjectClick">
      <xdr:nvCxnSpPr>
        <xdr:cNvPr id="4" name="PTObj_DBranchHLine_1_4">
          <a:extLst>
            <a:ext uri="{FF2B5EF4-FFF2-40B4-BE49-F238E27FC236}">
              <a16:creationId xmlns:a16="http://schemas.microsoft.com/office/drawing/2014/main" id="{A5866BCA-6E35-AB14-36BE-5A5139833A7C}"/>
            </a:ext>
          </a:extLst>
        </xdr:cNvPr>
        <xdr:cNvCxnSpPr/>
      </xdr:nvCxnSpPr>
      <xdr:spPr>
        <a:xfrm>
          <a:off x="2898267" y="909320"/>
          <a:ext cx="127762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86487</xdr:colOff>
      <xdr:row>10</xdr:row>
      <xdr:rowOff>177800</xdr:rowOff>
    </xdr:from>
    <xdr:to>
      <xdr:col>2</xdr:col>
      <xdr:colOff>238887</xdr:colOff>
      <xdr:row>18</xdr:row>
      <xdr:rowOff>172720</xdr:rowOff>
    </xdr:to>
    <xdr:cxnSp macro="_xll.PtreeEvent_ObjectClick">
      <xdr:nvCxnSpPr>
        <xdr:cNvPr id="3" name="PTObj_DBranchDLine_1_4">
          <a:extLst>
            <a:ext uri="{FF2B5EF4-FFF2-40B4-BE49-F238E27FC236}">
              <a16:creationId xmlns:a16="http://schemas.microsoft.com/office/drawing/2014/main" id="{5E7F8632-CED1-4100-AE0A-4FC99CD4ABCA}"/>
            </a:ext>
          </a:extLst>
        </xdr:cNvPr>
        <xdr:cNvCxnSpPr/>
      </xdr:nvCxnSpPr>
      <xdr:spPr>
        <a:xfrm flipV="1">
          <a:off x="2745867" y="90932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238887</xdr:colOff>
      <xdr:row>18</xdr:row>
      <xdr:rowOff>177800</xdr:rowOff>
    </xdr:from>
    <xdr:to>
      <xdr:col>2</xdr:col>
      <xdr:colOff>127</xdr:colOff>
      <xdr:row>18</xdr:row>
      <xdr:rowOff>177800</xdr:rowOff>
    </xdr:to>
    <xdr:cxnSp macro="_xll.PtreeEvent_ObjectClick">
      <xdr:nvCxnSpPr>
        <xdr:cNvPr id="18" name="PTObj_DBranchHLine_1_3">
          <a:extLst>
            <a:ext uri="{FF2B5EF4-FFF2-40B4-BE49-F238E27FC236}">
              <a16:creationId xmlns:a16="http://schemas.microsoft.com/office/drawing/2014/main" id="{396740D1-EC93-5332-F4A1-692E801CB016}"/>
            </a:ext>
          </a:extLst>
        </xdr:cNvPr>
        <xdr:cNvCxnSpPr/>
      </xdr:nvCxnSpPr>
      <xdr:spPr>
        <a:xfrm>
          <a:off x="1389507" y="909320"/>
          <a:ext cx="12700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86487</xdr:colOff>
      <xdr:row>2</xdr:row>
      <xdr:rowOff>172720</xdr:rowOff>
    </xdr:from>
    <xdr:to>
      <xdr:col>1</xdr:col>
      <xdr:colOff>238887</xdr:colOff>
      <xdr:row>18</xdr:row>
      <xdr:rowOff>177800</xdr:rowOff>
    </xdr:to>
    <xdr:cxnSp macro="_xll.PtreeEvent_ObjectClick">
      <xdr:nvCxnSpPr>
        <xdr:cNvPr id="17" name="PTObj_DBranchDLine_1_3">
          <a:extLst>
            <a:ext uri="{FF2B5EF4-FFF2-40B4-BE49-F238E27FC236}">
              <a16:creationId xmlns:a16="http://schemas.microsoft.com/office/drawing/2014/main" id="{51A7E569-99BF-31D3-1560-BE87B38992F6}"/>
            </a:ext>
          </a:extLst>
        </xdr:cNvPr>
        <xdr:cNvCxnSpPr/>
      </xdr:nvCxnSpPr>
      <xdr:spPr>
        <a:xfrm>
          <a:off x="1237107" y="538480"/>
          <a:ext cx="152400" cy="37084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238887</xdr:colOff>
      <xdr:row>0</xdr:row>
      <xdr:rowOff>177800</xdr:rowOff>
    </xdr:from>
    <xdr:to>
      <xdr:col>2</xdr:col>
      <xdr:colOff>127</xdr:colOff>
      <xdr:row>0</xdr:row>
      <xdr:rowOff>177800</xdr:rowOff>
    </xdr:to>
    <xdr:cxnSp macro="_xll.PtreeEvent_ObjectClick">
      <xdr:nvCxnSpPr>
        <xdr:cNvPr id="10" name="PTObj_DBranchHLine_1_2">
          <a:extLst>
            <a:ext uri="{FF2B5EF4-FFF2-40B4-BE49-F238E27FC236}">
              <a16:creationId xmlns:a16="http://schemas.microsoft.com/office/drawing/2014/main" id="{EB559913-D6A8-2BC3-9770-34FE99C61F32}"/>
            </a:ext>
          </a:extLst>
        </xdr:cNvPr>
        <xdr:cNvCxnSpPr/>
      </xdr:nvCxnSpPr>
      <xdr:spPr>
        <a:xfrm>
          <a:off x="1389507" y="177800"/>
          <a:ext cx="91186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86487</xdr:colOff>
      <xdr:row>0</xdr:row>
      <xdr:rowOff>177800</xdr:rowOff>
    </xdr:from>
    <xdr:to>
      <xdr:col>1</xdr:col>
      <xdr:colOff>238887</xdr:colOff>
      <xdr:row>2</xdr:row>
      <xdr:rowOff>172720</xdr:rowOff>
    </xdr:to>
    <xdr:cxnSp macro="_xll.PtreeEvent_ObjectClick">
      <xdr:nvCxnSpPr>
        <xdr:cNvPr id="9" name="PTObj_DBranchDLine_1_2">
          <a:extLst>
            <a:ext uri="{FF2B5EF4-FFF2-40B4-BE49-F238E27FC236}">
              <a16:creationId xmlns:a16="http://schemas.microsoft.com/office/drawing/2014/main" id="{6E75BC93-AA5B-0D65-10DC-CEBD3303D8EB}"/>
            </a:ext>
          </a:extLst>
        </xdr:cNvPr>
        <xdr:cNvCxnSpPr/>
      </xdr:nvCxnSpPr>
      <xdr:spPr>
        <a:xfrm flipV="1">
          <a:off x="1237107" y="177800"/>
          <a:ext cx="152400" cy="36068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177800</xdr:colOff>
      <xdr:row>2</xdr:row>
      <xdr:rowOff>177800</xdr:rowOff>
    </xdr:from>
    <xdr:to>
      <xdr:col>1</xdr:col>
      <xdr:colOff>127</xdr:colOff>
      <xdr:row>2</xdr:row>
      <xdr:rowOff>177800</xdr:rowOff>
    </xdr:to>
    <xdr:cxnSp macro="_xll.PtreeEvent_ObjectClick">
      <xdr:nvCxnSpPr>
        <xdr:cNvPr id="6" name="PTObj_DBranchHLine_1_1">
          <a:extLst>
            <a:ext uri="{FF2B5EF4-FFF2-40B4-BE49-F238E27FC236}">
              <a16:creationId xmlns:a16="http://schemas.microsoft.com/office/drawing/2014/main" id="{DE1547D2-7854-2233-0875-EEB5DBF88A7B}"/>
            </a:ext>
          </a:extLst>
        </xdr:cNvPr>
        <xdr:cNvCxnSpPr/>
      </xdr:nvCxnSpPr>
      <xdr:spPr>
        <a:xfrm>
          <a:off x="177800" y="177800"/>
          <a:ext cx="972947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127</xdr:colOff>
      <xdr:row>2</xdr:row>
      <xdr:rowOff>86360</xdr:rowOff>
    </xdr:from>
    <xdr:to>
      <xdr:col>1</xdr:col>
      <xdr:colOff>169672</xdr:colOff>
      <xdr:row>3</xdr:row>
      <xdr:rowOff>95885</xdr:rowOff>
    </xdr:to>
    <xdr:sp macro="_xll.PtreeEvent_ObjectClick" textlink="">
      <xdr:nvSpPr>
        <xdr:cNvPr id="5" name="PTObj_DNode_1_1">
          <a:extLst>
            <a:ext uri="{FF2B5EF4-FFF2-40B4-BE49-F238E27FC236}">
              <a16:creationId xmlns:a16="http://schemas.microsoft.com/office/drawing/2014/main" id="{BC27215F-A3DF-3592-B6E6-EB6AA98C7424}"/>
            </a:ext>
          </a:extLst>
        </xdr:cNvPr>
        <xdr:cNvSpPr/>
      </xdr:nvSpPr>
      <xdr:spPr>
        <a:xfrm>
          <a:off x="1150747" y="86360"/>
          <a:ext cx="182880" cy="18288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215900</xdr:colOff>
      <xdr:row>2</xdr:row>
      <xdr:rowOff>87487</xdr:rowOff>
    </xdr:from>
    <xdr:ext cx="499817" cy="180627"/>
    <xdr:sp macro="_xll.PtreeEvent_ObjectClick" textlink="">
      <xdr:nvSpPr>
        <xdr:cNvPr id="7" name="PTObj_DBranchName_1_1">
          <a:extLst>
            <a:ext uri="{FF2B5EF4-FFF2-40B4-BE49-F238E27FC236}">
              <a16:creationId xmlns:a16="http://schemas.microsoft.com/office/drawing/2014/main" id="{BB1F347F-FFB0-BD33-69E1-DE2744E516D3}"/>
            </a:ext>
          </a:extLst>
        </xdr:cNvPr>
        <xdr:cNvSpPr txBox="1"/>
      </xdr:nvSpPr>
      <xdr:spPr>
        <a:xfrm>
          <a:off x="215900" y="87487"/>
          <a:ext cx="499817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Interplants</a:t>
          </a:r>
        </a:p>
      </xdr:txBody>
    </xdr:sp>
    <xdr:clientData/>
  </xdr:oneCellAnchor>
  <xdr:twoCellAnchor editAs="oneCell">
    <xdr:from>
      <xdr:col>2</xdr:col>
      <xdr:colOff>127</xdr:colOff>
      <xdr:row>0</xdr:row>
      <xdr:rowOff>86360</xdr:rowOff>
    </xdr:from>
    <xdr:to>
      <xdr:col>2</xdr:col>
      <xdr:colOff>169672</xdr:colOff>
      <xdr:row>1</xdr:row>
      <xdr:rowOff>95885</xdr:rowOff>
    </xdr:to>
    <xdr:sp macro="_xll.PtreeEvent_ObjectClick" textlink="">
      <xdr:nvSpPr>
        <xdr:cNvPr id="8" name="PTObj_DNode_1_2">
          <a:extLst>
            <a:ext uri="{FF2B5EF4-FFF2-40B4-BE49-F238E27FC236}">
              <a16:creationId xmlns:a16="http://schemas.microsoft.com/office/drawing/2014/main" id="{177FB362-C253-497E-5280-34636A0B1EBE}"/>
            </a:ext>
          </a:extLst>
        </xdr:cNvPr>
        <xdr:cNvSpPr/>
      </xdr:nvSpPr>
      <xdr:spPr>
        <a:xfrm rot="-5400000">
          <a:off x="2301367" y="8636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276987</xdr:colOff>
      <xdr:row>0</xdr:row>
      <xdr:rowOff>87487</xdr:rowOff>
    </xdr:from>
    <xdr:ext cx="208198" cy="180627"/>
    <xdr:sp macro="_xll.PtreeEvent_ObjectClick" textlink="">
      <xdr:nvSpPr>
        <xdr:cNvPr id="11" name="PTObj_DBranchName_1_2">
          <a:extLst>
            <a:ext uri="{FF2B5EF4-FFF2-40B4-BE49-F238E27FC236}">
              <a16:creationId xmlns:a16="http://schemas.microsoft.com/office/drawing/2014/main" id="{F654F5DB-2DAE-A552-485A-D80616D1DDFE}"/>
            </a:ext>
          </a:extLst>
        </xdr:cNvPr>
        <xdr:cNvSpPr txBox="1"/>
      </xdr:nvSpPr>
      <xdr:spPr>
        <a:xfrm>
          <a:off x="1427607" y="87487"/>
          <a:ext cx="208198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Sell</a:t>
          </a:r>
        </a:p>
      </xdr:txBody>
    </xdr:sp>
    <xdr:clientData/>
  </xdr:oneCellAnchor>
  <xdr:twoCellAnchor editAs="oneCell">
    <xdr:from>
      <xdr:col>2</xdr:col>
      <xdr:colOff>127</xdr:colOff>
      <xdr:row>18</xdr:row>
      <xdr:rowOff>86360</xdr:rowOff>
    </xdr:from>
    <xdr:to>
      <xdr:col>2</xdr:col>
      <xdr:colOff>169672</xdr:colOff>
      <xdr:row>19</xdr:row>
      <xdr:rowOff>95885</xdr:rowOff>
    </xdr:to>
    <xdr:sp macro="_xll.PtreeEvent_ObjectClick" textlink="">
      <xdr:nvSpPr>
        <xdr:cNvPr id="16" name="PTObj_DNode_1_3">
          <a:extLst>
            <a:ext uri="{FF2B5EF4-FFF2-40B4-BE49-F238E27FC236}">
              <a16:creationId xmlns:a16="http://schemas.microsoft.com/office/drawing/2014/main" id="{9124ACEA-D85B-5C86-3DA3-AB072D9347F4}"/>
            </a:ext>
          </a:extLst>
        </xdr:cNvPr>
        <xdr:cNvSpPr/>
      </xdr:nvSpPr>
      <xdr:spPr>
        <a:xfrm>
          <a:off x="2659507" y="81788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276987</xdr:colOff>
      <xdr:row>18</xdr:row>
      <xdr:rowOff>87487</xdr:rowOff>
    </xdr:from>
    <xdr:ext cx="860941" cy="180627"/>
    <xdr:sp macro="_xll.PtreeEvent_ObjectClick" textlink="">
      <xdr:nvSpPr>
        <xdr:cNvPr id="19" name="PTObj_DBranchName_1_3">
          <a:extLst>
            <a:ext uri="{FF2B5EF4-FFF2-40B4-BE49-F238E27FC236}">
              <a16:creationId xmlns:a16="http://schemas.microsoft.com/office/drawing/2014/main" id="{6642F1F2-6ED0-0F32-3350-C28077FFEE91}"/>
            </a:ext>
          </a:extLst>
        </xdr:cNvPr>
        <xdr:cNvSpPr txBox="1"/>
      </xdr:nvSpPr>
      <xdr:spPr>
        <a:xfrm>
          <a:off x="1427607" y="3379327"/>
          <a:ext cx="86094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Continue Operation</a:t>
          </a:r>
        </a:p>
      </xdr:txBody>
    </xdr:sp>
    <xdr:clientData/>
  </xdr:oneCellAnchor>
  <xdr:twoCellAnchor editAs="oneCell">
    <xdr:from>
      <xdr:col>3</xdr:col>
      <xdr:colOff>127</xdr:colOff>
      <xdr:row>10</xdr:row>
      <xdr:rowOff>86360</xdr:rowOff>
    </xdr:from>
    <xdr:to>
      <xdr:col>3</xdr:col>
      <xdr:colOff>169672</xdr:colOff>
      <xdr:row>11</xdr:row>
      <xdr:rowOff>95885</xdr:rowOff>
    </xdr:to>
    <xdr:sp macro="_xll.PtreeEvent_ObjectClick" textlink="">
      <xdr:nvSpPr>
        <xdr:cNvPr id="2" name="PTObj_DNode_1_4">
          <a:extLst>
            <a:ext uri="{FF2B5EF4-FFF2-40B4-BE49-F238E27FC236}">
              <a16:creationId xmlns:a16="http://schemas.microsoft.com/office/drawing/2014/main" id="{55CC10D5-B84D-EF5F-13FF-836ED7B58804}"/>
            </a:ext>
          </a:extLst>
        </xdr:cNvPr>
        <xdr:cNvSpPr/>
      </xdr:nvSpPr>
      <xdr:spPr>
        <a:xfrm>
          <a:off x="4175887" y="81788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276987</xdr:colOff>
      <xdr:row>10</xdr:row>
      <xdr:rowOff>87487</xdr:rowOff>
    </xdr:from>
    <xdr:ext cx="581954" cy="180627"/>
    <xdr:sp macro="_xll.PtreeEvent_ObjectClick" textlink="">
      <xdr:nvSpPr>
        <xdr:cNvPr id="12" name="PTObj_DBranchName_1_4">
          <a:extLst>
            <a:ext uri="{FF2B5EF4-FFF2-40B4-BE49-F238E27FC236}">
              <a16:creationId xmlns:a16="http://schemas.microsoft.com/office/drawing/2014/main" id="{BCA893C9-D7C1-230F-3F03-4B2BCCC993DF}"/>
            </a:ext>
          </a:extLst>
        </xdr:cNvPr>
        <xdr:cNvSpPr txBox="1"/>
      </xdr:nvSpPr>
      <xdr:spPr>
        <a:xfrm>
          <a:off x="2936367" y="819007"/>
          <a:ext cx="58195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Inexperience</a:t>
          </a:r>
        </a:p>
      </xdr:txBody>
    </xdr:sp>
    <xdr:clientData/>
  </xdr:oneCellAnchor>
  <xdr:twoCellAnchor editAs="oneCell">
    <xdr:from>
      <xdr:col>3</xdr:col>
      <xdr:colOff>127</xdr:colOff>
      <xdr:row>26</xdr:row>
      <xdr:rowOff>86360</xdr:rowOff>
    </xdr:from>
    <xdr:to>
      <xdr:col>3</xdr:col>
      <xdr:colOff>169672</xdr:colOff>
      <xdr:row>27</xdr:row>
      <xdr:rowOff>95885</xdr:rowOff>
    </xdr:to>
    <xdr:sp macro="_xll.PtreeEvent_ObjectClick" textlink="">
      <xdr:nvSpPr>
        <xdr:cNvPr id="41" name="PTObj_DNode_1_5">
          <a:extLst>
            <a:ext uri="{FF2B5EF4-FFF2-40B4-BE49-F238E27FC236}">
              <a16:creationId xmlns:a16="http://schemas.microsoft.com/office/drawing/2014/main" id="{65C81BAD-14FD-D107-069F-50F8C53D83B4}"/>
            </a:ext>
          </a:extLst>
        </xdr:cNvPr>
        <xdr:cNvSpPr/>
      </xdr:nvSpPr>
      <xdr:spPr>
        <a:xfrm>
          <a:off x="4175887" y="264668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276987</xdr:colOff>
      <xdr:row>26</xdr:row>
      <xdr:rowOff>87487</xdr:rowOff>
    </xdr:from>
    <xdr:ext cx="445827" cy="180627"/>
    <xdr:sp macro="_xll.PtreeEvent_ObjectClick" textlink="">
      <xdr:nvSpPr>
        <xdr:cNvPr id="44" name="PTObj_DBranchName_1_5">
          <a:extLst>
            <a:ext uri="{FF2B5EF4-FFF2-40B4-BE49-F238E27FC236}">
              <a16:creationId xmlns:a16="http://schemas.microsoft.com/office/drawing/2014/main" id="{66A38EA7-A752-004D-FD53-AD2132323CDC}"/>
            </a:ext>
          </a:extLst>
        </xdr:cNvPr>
        <xdr:cNvSpPr txBox="1"/>
      </xdr:nvSpPr>
      <xdr:spPr>
        <a:xfrm>
          <a:off x="2936367" y="2647807"/>
          <a:ext cx="44582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Moderate</a:t>
          </a:r>
        </a:p>
      </xdr:txBody>
    </xdr:sp>
    <xdr:clientData/>
  </xdr:oneCellAnchor>
  <xdr:twoCellAnchor editAs="oneCell">
    <xdr:from>
      <xdr:col>3</xdr:col>
      <xdr:colOff>127</xdr:colOff>
      <xdr:row>40</xdr:row>
      <xdr:rowOff>86360</xdr:rowOff>
    </xdr:from>
    <xdr:to>
      <xdr:col>3</xdr:col>
      <xdr:colOff>169672</xdr:colOff>
      <xdr:row>41</xdr:row>
      <xdr:rowOff>95885</xdr:rowOff>
    </xdr:to>
    <xdr:sp macro="_xll.PtreeEvent_ObjectClick" textlink="">
      <xdr:nvSpPr>
        <xdr:cNvPr id="57" name="PTObj_DNode_1_6">
          <a:extLst>
            <a:ext uri="{FF2B5EF4-FFF2-40B4-BE49-F238E27FC236}">
              <a16:creationId xmlns:a16="http://schemas.microsoft.com/office/drawing/2014/main" id="{6E875373-567D-3F6F-F795-6D110FF5F86E}"/>
            </a:ext>
          </a:extLst>
        </xdr:cNvPr>
        <xdr:cNvSpPr/>
      </xdr:nvSpPr>
      <xdr:spPr>
        <a:xfrm>
          <a:off x="4175887" y="374396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276987</xdr:colOff>
      <xdr:row>40</xdr:row>
      <xdr:rowOff>87487</xdr:rowOff>
    </xdr:from>
    <xdr:ext cx="315407" cy="180627"/>
    <xdr:sp macro="_xll.PtreeEvent_ObjectClick" textlink="">
      <xdr:nvSpPr>
        <xdr:cNvPr id="60" name="PTObj_DBranchName_1_6">
          <a:extLst>
            <a:ext uri="{FF2B5EF4-FFF2-40B4-BE49-F238E27FC236}">
              <a16:creationId xmlns:a16="http://schemas.microsoft.com/office/drawing/2014/main" id="{B5412391-3859-AC64-D50A-BA5F9530B783}"/>
            </a:ext>
          </a:extLst>
        </xdr:cNvPr>
        <xdr:cNvSpPr txBox="1"/>
      </xdr:nvSpPr>
      <xdr:spPr>
        <a:xfrm>
          <a:off x="2936367" y="3745087"/>
          <a:ext cx="31540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Costly</a:t>
          </a:r>
        </a:p>
      </xdr:txBody>
    </xdr:sp>
    <xdr:clientData/>
  </xdr:oneCellAnchor>
  <xdr:twoCellAnchor editAs="oneCell">
    <xdr:from>
      <xdr:col>4</xdr:col>
      <xdr:colOff>127</xdr:colOff>
      <xdr:row>6</xdr:row>
      <xdr:rowOff>86360</xdr:rowOff>
    </xdr:from>
    <xdr:to>
      <xdr:col>4</xdr:col>
      <xdr:colOff>169672</xdr:colOff>
      <xdr:row>7</xdr:row>
      <xdr:rowOff>95885</xdr:rowOff>
    </xdr:to>
    <xdr:sp macro="_xll.PtreeEvent_ObjectClick" textlink="">
      <xdr:nvSpPr>
        <xdr:cNvPr id="69" name="PTObj_DNode_1_7">
          <a:extLst>
            <a:ext uri="{FF2B5EF4-FFF2-40B4-BE49-F238E27FC236}">
              <a16:creationId xmlns:a16="http://schemas.microsoft.com/office/drawing/2014/main" id="{12AD5278-C079-2963-6C05-561689132F51}"/>
            </a:ext>
          </a:extLst>
        </xdr:cNvPr>
        <xdr:cNvSpPr/>
      </xdr:nvSpPr>
      <xdr:spPr>
        <a:xfrm>
          <a:off x="5684647" y="81788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276987</xdr:colOff>
      <xdr:row>6</xdr:row>
      <xdr:rowOff>87487</xdr:rowOff>
    </xdr:from>
    <xdr:ext cx="500457" cy="180627"/>
    <xdr:sp macro="_xll.PtreeEvent_ObjectClick" textlink="">
      <xdr:nvSpPr>
        <xdr:cNvPr id="72" name="PTObj_DBranchName_1_7">
          <a:extLst>
            <a:ext uri="{FF2B5EF4-FFF2-40B4-BE49-F238E27FC236}">
              <a16:creationId xmlns:a16="http://schemas.microsoft.com/office/drawing/2014/main" id="{19F3540A-2714-F79F-875A-C6201FD81233}"/>
            </a:ext>
          </a:extLst>
        </xdr:cNvPr>
        <xdr:cNvSpPr txBox="1"/>
      </xdr:nvSpPr>
      <xdr:spPr>
        <a:xfrm>
          <a:off x="4452747" y="819007"/>
          <a:ext cx="5004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Agreement</a:t>
          </a:r>
        </a:p>
      </xdr:txBody>
    </xdr:sp>
    <xdr:clientData/>
  </xdr:oneCellAnchor>
  <xdr:twoCellAnchor editAs="oneCell">
    <xdr:from>
      <xdr:col>5</xdr:col>
      <xdr:colOff>128</xdr:colOff>
      <xdr:row>4</xdr:row>
      <xdr:rowOff>86359</xdr:rowOff>
    </xdr:from>
    <xdr:to>
      <xdr:col>5</xdr:col>
      <xdr:colOff>169673</xdr:colOff>
      <xdr:row>5</xdr:row>
      <xdr:rowOff>95885</xdr:rowOff>
    </xdr:to>
    <xdr:sp macro="_xll.PtreeEvent_ObjectClick" textlink="">
      <xdr:nvSpPr>
        <xdr:cNvPr id="73" name="PTObj_DNode_1_13">
          <a:extLst>
            <a:ext uri="{FF2B5EF4-FFF2-40B4-BE49-F238E27FC236}">
              <a16:creationId xmlns:a16="http://schemas.microsoft.com/office/drawing/2014/main" id="{34ACFFEF-7BD5-D73D-D556-8493B6EF0371}"/>
            </a:ext>
          </a:extLst>
        </xdr:cNvPr>
        <xdr:cNvSpPr/>
      </xdr:nvSpPr>
      <xdr:spPr>
        <a:xfrm rot="-5400000">
          <a:off x="6835267" y="817880"/>
          <a:ext cx="182881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4</xdr:row>
      <xdr:rowOff>87487</xdr:rowOff>
    </xdr:from>
    <xdr:ext cx="400045" cy="180627"/>
    <xdr:sp macro="_xll.PtreeEvent_ObjectClick" textlink="">
      <xdr:nvSpPr>
        <xdr:cNvPr id="76" name="PTObj_DBranchName_1_13">
          <a:extLst>
            <a:ext uri="{FF2B5EF4-FFF2-40B4-BE49-F238E27FC236}">
              <a16:creationId xmlns:a16="http://schemas.microsoft.com/office/drawing/2014/main" id="{6BA898BC-1087-FCB1-102A-B27AE9D6912B}"/>
            </a:ext>
          </a:extLst>
        </xdr:cNvPr>
        <xdr:cNvSpPr txBox="1"/>
      </xdr:nvSpPr>
      <xdr:spPr>
        <a:xfrm>
          <a:off x="5961507" y="819007"/>
          <a:ext cx="40004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Success</a:t>
          </a:r>
        </a:p>
      </xdr:txBody>
    </xdr:sp>
    <xdr:clientData/>
  </xdr:oneCellAnchor>
  <xdr:twoCellAnchor editAs="oneCell">
    <xdr:from>
      <xdr:col>5</xdr:col>
      <xdr:colOff>127</xdr:colOff>
      <xdr:row>8</xdr:row>
      <xdr:rowOff>86360</xdr:rowOff>
    </xdr:from>
    <xdr:to>
      <xdr:col>5</xdr:col>
      <xdr:colOff>169672</xdr:colOff>
      <xdr:row>9</xdr:row>
      <xdr:rowOff>95885</xdr:rowOff>
    </xdr:to>
    <xdr:sp macro="_xll.PtreeEvent_ObjectClick" textlink="">
      <xdr:nvSpPr>
        <xdr:cNvPr id="77" name="PTObj_DNode_1_14">
          <a:extLst>
            <a:ext uri="{FF2B5EF4-FFF2-40B4-BE49-F238E27FC236}">
              <a16:creationId xmlns:a16="http://schemas.microsoft.com/office/drawing/2014/main" id="{13589A6E-D4EE-2494-EB85-D83EC6B82363}"/>
            </a:ext>
          </a:extLst>
        </xdr:cNvPr>
        <xdr:cNvSpPr/>
      </xdr:nvSpPr>
      <xdr:spPr>
        <a:xfrm rot="-5400000">
          <a:off x="7056247" y="154940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8</xdr:row>
      <xdr:rowOff>87486</xdr:rowOff>
    </xdr:from>
    <xdr:ext cx="336438" cy="180627"/>
    <xdr:sp macro="_xll.PtreeEvent_ObjectClick" textlink="">
      <xdr:nvSpPr>
        <xdr:cNvPr id="80" name="PTObj_DBranchName_1_14">
          <a:extLst>
            <a:ext uri="{FF2B5EF4-FFF2-40B4-BE49-F238E27FC236}">
              <a16:creationId xmlns:a16="http://schemas.microsoft.com/office/drawing/2014/main" id="{165CBA49-5911-C4A8-173C-D5497B418C64}"/>
            </a:ext>
          </a:extLst>
        </xdr:cNvPr>
        <xdr:cNvSpPr txBox="1"/>
      </xdr:nvSpPr>
      <xdr:spPr>
        <a:xfrm>
          <a:off x="5961507" y="1550526"/>
          <a:ext cx="336438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Failure</a:t>
          </a:r>
        </a:p>
      </xdr:txBody>
    </xdr:sp>
    <xdr:clientData/>
  </xdr:oneCellAnchor>
  <xdr:twoCellAnchor editAs="oneCell">
    <xdr:from>
      <xdr:col>4</xdr:col>
      <xdr:colOff>127</xdr:colOff>
      <xdr:row>14</xdr:row>
      <xdr:rowOff>86360</xdr:rowOff>
    </xdr:from>
    <xdr:to>
      <xdr:col>4</xdr:col>
      <xdr:colOff>169672</xdr:colOff>
      <xdr:row>15</xdr:row>
      <xdr:rowOff>95885</xdr:rowOff>
    </xdr:to>
    <xdr:sp macro="_xll.PtreeEvent_ObjectClick" textlink="">
      <xdr:nvSpPr>
        <xdr:cNvPr id="85" name="PTObj_DNode_1_8">
          <a:extLst>
            <a:ext uri="{FF2B5EF4-FFF2-40B4-BE49-F238E27FC236}">
              <a16:creationId xmlns:a16="http://schemas.microsoft.com/office/drawing/2014/main" id="{639F3E0E-C941-CCEE-6BCF-0E4E403AB7D2}"/>
            </a:ext>
          </a:extLst>
        </xdr:cNvPr>
        <xdr:cNvSpPr/>
      </xdr:nvSpPr>
      <xdr:spPr>
        <a:xfrm>
          <a:off x="5684647" y="264668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276987</xdr:colOff>
      <xdr:row>14</xdr:row>
      <xdr:rowOff>87487</xdr:rowOff>
    </xdr:from>
    <xdr:ext cx="373499" cy="180627"/>
    <xdr:sp macro="_xll.PtreeEvent_ObjectClick" textlink="">
      <xdr:nvSpPr>
        <xdr:cNvPr id="88" name="PTObj_DBranchName_1_8">
          <a:extLst>
            <a:ext uri="{FF2B5EF4-FFF2-40B4-BE49-F238E27FC236}">
              <a16:creationId xmlns:a16="http://schemas.microsoft.com/office/drawing/2014/main" id="{CE5D08AA-97DD-9D7C-D6EB-A619DF288176}"/>
            </a:ext>
          </a:extLst>
        </xdr:cNvPr>
        <xdr:cNvSpPr txBox="1"/>
      </xdr:nvSpPr>
      <xdr:spPr>
        <a:xfrm>
          <a:off x="4452747" y="2647807"/>
          <a:ext cx="37349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Dispute</a:t>
          </a:r>
        </a:p>
      </xdr:txBody>
    </xdr:sp>
    <xdr:clientData/>
  </xdr:oneCellAnchor>
  <xdr:twoCellAnchor editAs="oneCell">
    <xdr:from>
      <xdr:col>5</xdr:col>
      <xdr:colOff>127</xdr:colOff>
      <xdr:row>12</xdr:row>
      <xdr:rowOff>86360</xdr:rowOff>
    </xdr:from>
    <xdr:to>
      <xdr:col>5</xdr:col>
      <xdr:colOff>169672</xdr:colOff>
      <xdr:row>13</xdr:row>
      <xdr:rowOff>95885</xdr:rowOff>
    </xdr:to>
    <xdr:sp macro="_xll.PtreeEvent_ObjectClick" textlink="">
      <xdr:nvSpPr>
        <xdr:cNvPr id="89" name="PTObj_DNode_1_15">
          <a:extLst>
            <a:ext uri="{FF2B5EF4-FFF2-40B4-BE49-F238E27FC236}">
              <a16:creationId xmlns:a16="http://schemas.microsoft.com/office/drawing/2014/main" id="{6FF55429-9545-AE53-5BB0-0FA8CFE38638}"/>
            </a:ext>
          </a:extLst>
        </xdr:cNvPr>
        <xdr:cNvSpPr/>
      </xdr:nvSpPr>
      <xdr:spPr>
        <a:xfrm rot="-5400000">
          <a:off x="7193407" y="228092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12</xdr:row>
      <xdr:rowOff>87487</xdr:rowOff>
    </xdr:from>
    <xdr:ext cx="400046" cy="180627"/>
    <xdr:sp macro="_xll.PtreeEvent_ObjectClick" textlink="">
      <xdr:nvSpPr>
        <xdr:cNvPr id="92" name="PTObj_DBranchName_1_15">
          <a:extLst>
            <a:ext uri="{FF2B5EF4-FFF2-40B4-BE49-F238E27FC236}">
              <a16:creationId xmlns:a16="http://schemas.microsoft.com/office/drawing/2014/main" id="{D03FE0CC-6294-844A-EFBE-00C12458FB95}"/>
            </a:ext>
          </a:extLst>
        </xdr:cNvPr>
        <xdr:cNvSpPr txBox="1"/>
      </xdr:nvSpPr>
      <xdr:spPr>
        <a:xfrm>
          <a:off x="5961507" y="2282047"/>
          <a:ext cx="400046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Success</a:t>
          </a:r>
        </a:p>
      </xdr:txBody>
    </xdr:sp>
    <xdr:clientData/>
  </xdr:oneCellAnchor>
  <xdr:twoCellAnchor editAs="oneCell">
    <xdr:from>
      <xdr:col>5</xdr:col>
      <xdr:colOff>127</xdr:colOff>
      <xdr:row>16</xdr:row>
      <xdr:rowOff>86360</xdr:rowOff>
    </xdr:from>
    <xdr:to>
      <xdr:col>5</xdr:col>
      <xdr:colOff>169672</xdr:colOff>
      <xdr:row>17</xdr:row>
      <xdr:rowOff>95885</xdr:rowOff>
    </xdr:to>
    <xdr:sp macro="_xll.PtreeEvent_ObjectClick" textlink="">
      <xdr:nvSpPr>
        <xdr:cNvPr id="93" name="PTObj_DNode_1_16">
          <a:extLst>
            <a:ext uri="{FF2B5EF4-FFF2-40B4-BE49-F238E27FC236}">
              <a16:creationId xmlns:a16="http://schemas.microsoft.com/office/drawing/2014/main" id="{C91944DF-A6DE-4F1F-6037-4B5BD2878215}"/>
            </a:ext>
          </a:extLst>
        </xdr:cNvPr>
        <xdr:cNvSpPr/>
      </xdr:nvSpPr>
      <xdr:spPr>
        <a:xfrm rot="-5400000">
          <a:off x="7193407" y="301244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16</xdr:row>
      <xdr:rowOff>87486</xdr:rowOff>
    </xdr:from>
    <xdr:ext cx="336439" cy="180627"/>
    <xdr:sp macro="_xll.PtreeEvent_ObjectClick" textlink="">
      <xdr:nvSpPr>
        <xdr:cNvPr id="96" name="PTObj_DBranchName_1_16">
          <a:extLst>
            <a:ext uri="{FF2B5EF4-FFF2-40B4-BE49-F238E27FC236}">
              <a16:creationId xmlns:a16="http://schemas.microsoft.com/office/drawing/2014/main" id="{73E2BC02-174C-F45F-7386-D8BF04DEEE96}"/>
            </a:ext>
          </a:extLst>
        </xdr:cNvPr>
        <xdr:cNvSpPr txBox="1"/>
      </xdr:nvSpPr>
      <xdr:spPr>
        <a:xfrm>
          <a:off x="5961507" y="3013566"/>
          <a:ext cx="33643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Failure</a:t>
          </a:r>
        </a:p>
      </xdr:txBody>
    </xdr:sp>
    <xdr:clientData/>
  </xdr:oneCellAnchor>
  <xdr:twoCellAnchor editAs="oneCell">
    <xdr:from>
      <xdr:col>4</xdr:col>
      <xdr:colOff>127</xdr:colOff>
      <xdr:row>22</xdr:row>
      <xdr:rowOff>86360</xdr:rowOff>
    </xdr:from>
    <xdr:to>
      <xdr:col>4</xdr:col>
      <xdr:colOff>169672</xdr:colOff>
      <xdr:row>23</xdr:row>
      <xdr:rowOff>95885</xdr:rowOff>
    </xdr:to>
    <xdr:sp macro="_xll.PtreeEvent_ObjectClick" textlink="">
      <xdr:nvSpPr>
        <xdr:cNvPr id="101" name="PTObj_DNode_1_9">
          <a:extLst>
            <a:ext uri="{FF2B5EF4-FFF2-40B4-BE49-F238E27FC236}">
              <a16:creationId xmlns:a16="http://schemas.microsoft.com/office/drawing/2014/main" id="{FDC9CEAC-249D-DC0D-C7D9-317F02F962C7}"/>
            </a:ext>
          </a:extLst>
        </xdr:cNvPr>
        <xdr:cNvSpPr/>
      </xdr:nvSpPr>
      <xdr:spPr>
        <a:xfrm>
          <a:off x="5684647" y="410972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276987</xdr:colOff>
      <xdr:row>22</xdr:row>
      <xdr:rowOff>87486</xdr:rowOff>
    </xdr:from>
    <xdr:ext cx="500457" cy="180627"/>
    <xdr:sp macro="_xll.PtreeEvent_ObjectClick" textlink="">
      <xdr:nvSpPr>
        <xdr:cNvPr id="104" name="PTObj_DBranchName_1_9">
          <a:extLst>
            <a:ext uri="{FF2B5EF4-FFF2-40B4-BE49-F238E27FC236}">
              <a16:creationId xmlns:a16="http://schemas.microsoft.com/office/drawing/2014/main" id="{901C4897-DDFB-F461-EBBA-6760F09CADBE}"/>
            </a:ext>
          </a:extLst>
        </xdr:cNvPr>
        <xdr:cNvSpPr txBox="1"/>
      </xdr:nvSpPr>
      <xdr:spPr>
        <a:xfrm>
          <a:off x="4452747" y="4110846"/>
          <a:ext cx="5004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Agreement</a:t>
          </a:r>
        </a:p>
      </xdr:txBody>
    </xdr:sp>
    <xdr:clientData/>
  </xdr:oneCellAnchor>
  <xdr:twoCellAnchor editAs="oneCell">
    <xdr:from>
      <xdr:col>5</xdr:col>
      <xdr:colOff>127</xdr:colOff>
      <xdr:row>20</xdr:row>
      <xdr:rowOff>86360</xdr:rowOff>
    </xdr:from>
    <xdr:to>
      <xdr:col>5</xdr:col>
      <xdr:colOff>169672</xdr:colOff>
      <xdr:row>21</xdr:row>
      <xdr:rowOff>95885</xdr:rowOff>
    </xdr:to>
    <xdr:sp macro="_xll.PtreeEvent_ObjectClick" textlink="">
      <xdr:nvSpPr>
        <xdr:cNvPr id="105" name="PTObj_DNode_1_17">
          <a:extLst>
            <a:ext uri="{FF2B5EF4-FFF2-40B4-BE49-F238E27FC236}">
              <a16:creationId xmlns:a16="http://schemas.microsoft.com/office/drawing/2014/main" id="{8F753CD0-97A9-E504-3187-2BF5B6CDE52E}"/>
            </a:ext>
          </a:extLst>
        </xdr:cNvPr>
        <xdr:cNvSpPr/>
      </xdr:nvSpPr>
      <xdr:spPr>
        <a:xfrm rot="-5400000">
          <a:off x="7193407" y="374396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20</xdr:row>
      <xdr:rowOff>87487</xdr:rowOff>
    </xdr:from>
    <xdr:ext cx="400046" cy="180627"/>
    <xdr:sp macro="_xll.PtreeEvent_ObjectClick" textlink="">
      <xdr:nvSpPr>
        <xdr:cNvPr id="108" name="PTObj_DBranchName_1_17">
          <a:extLst>
            <a:ext uri="{FF2B5EF4-FFF2-40B4-BE49-F238E27FC236}">
              <a16:creationId xmlns:a16="http://schemas.microsoft.com/office/drawing/2014/main" id="{E121934E-DFAF-8E6E-E928-49157A5627FF}"/>
            </a:ext>
          </a:extLst>
        </xdr:cNvPr>
        <xdr:cNvSpPr txBox="1"/>
      </xdr:nvSpPr>
      <xdr:spPr>
        <a:xfrm>
          <a:off x="5961507" y="3745087"/>
          <a:ext cx="400046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Success</a:t>
          </a:r>
        </a:p>
      </xdr:txBody>
    </xdr:sp>
    <xdr:clientData/>
  </xdr:oneCellAnchor>
  <xdr:twoCellAnchor editAs="oneCell">
    <xdr:from>
      <xdr:col>5</xdr:col>
      <xdr:colOff>127</xdr:colOff>
      <xdr:row>24</xdr:row>
      <xdr:rowOff>86360</xdr:rowOff>
    </xdr:from>
    <xdr:to>
      <xdr:col>5</xdr:col>
      <xdr:colOff>169672</xdr:colOff>
      <xdr:row>25</xdr:row>
      <xdr:rowOff>95885</xdr:rowOff>
    </xdr:to>
    <xdr:sp macro="_xll.PtreeEvent_ObjectClick" textlink="">
      <xdr:nvSpPr>
        <xdr:cNvPr id="109" name="PTObj_DNode_1_18">
          <a:extLst>
            <a:ext uri="{FF2B5EF4-FFF2-40B4-BE49-F238E27FC236}">
              <a16:creationId xmlns:a16="http://schemas.microsoft.com/office/drawing/2014/main" id="{CFB2F6A0-9209-927D-B597-BB8BF8602ABA}"/>
            </a:ext>
          </a:extLst>
        </xdr:cNvPr>
        <xdr:cNvSpPr/>
      </xdr:nvSpPr>
      <xdr:spPr>
        <a:xfrm rot="-5400000">
          <a:off x="7193407" y="447548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24</xdr:row>
      <xdr:rowOff>87487</xdr:rowOff>
    </xdr:from>
    <xdr:ext cx="336439" cy="180627"/>
    <xdr:sp macro="_xll.PtreeEvent_ObjectClick" textlink="">
      <xdr:nvSpPr>
        <xdr:cNvPr id="112" name="PTObj_DBranchName_1_18">
          <a:extLst>
            <a:ext uri="{FF2B5EF4-FFF2-40B4-BE49-F238E27FC236}">
              <a16:creationId xmlns:a16="http://schemas.microsoft.com/office/drawing/2014/main" id="{D4256057-4B24-4D0A-4E35-347C94FBF3D6}"/>
            </a:ext>
          </a:extLst>
        </xdr:cNvPr>
        <xdr:cNvSpPr txBox="1"/>
      </xdr:nvSpPr>
      <xdr:spPr>
        <a:xfrm>
          <a:off x="5961507" y="4476607"/>
          <a:ext cx="33643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Failure</a:t>
          </a:r>
        </a:p>
      </xdr:txBody>
    </xdr:sp>
    <xdr:clientData/>
  </xdr:oneCellAnchor>
  <xdr:twoCellAnchor editAs="oneCell">
    <xdr:from>
      <xdr:col>4</xdr:col>
      <xdr:colOff>127</xdr:colOff>
      <xdr:row>30</xdr:row>
      <xdr:rowOff>86360</xdr:rowOff>
    </xdr:from>
    <xdr:to>
      <xdr:col>4</xdr:col>
      <xdr:colOff>169672</xdr:colOff>
      <xdr:row>31</xdr:row>
      <xdr:rowOff>95885</xdr:rowOff>
    </xdr:to>
    <xdr:sp macro="_xll.PtreeEvent_ObjectClick" textlink="">
      <xdr:nvSpPr>
        <xdr:cNvPr id="117" name="PTObj_DNode_1_10">
          <a:extLst>
            <a:ext uri="{FF2B5EF4-FFF2-40B4-BE49-F238E27FC236}">
              <a16:creationId xmlns:a16="http://schemas.microsoft.com/office/drawing/2014/main" id="{9567EF8D-9841-3931-E267-6A01EFB39451}"/>
            </a:ext>
          </a:extLst>
        </xdr:cNvPr>
        <xdr:cNvSpPr/>
      </xdr:nvSpPr>
      <xdr:spPr>
        <a:xfrm>
          <a:off x="5684647" y="557276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276987</xdr:colOff>
      <xdr:row>30</xdr:row>
      <xdr:rowOff>87487</xdr:rowOff>
    </xdr:from>
    <xdr:ext cx="373499" cy="180627"/>
    <xdr:sp macro="_xll.PtreeEvent_ObjectClick" textlink="">
      <xdr:nvSpPr>
        <xdr:cNvPr id="120" name="PTObj_DBranchName_1_10">
          <a:extLst>
            <a:ext uri="{FF2B5EF4-FFF2-40B4-BE49-F238E27FC236}">
              <a16:creationId xmlns:a16="http://schemas.microsoft.com/office/drawing/2014/main" id="{50BEE042-126C-3503-D49D-85F176EC6774}"/>
            </a:ext>
          </a:extLst>
        </xdr:cNvPr>
        <xdr:cNvSpPr txBox="1"/>
      </xdr:nvSpPr>
      <xdr:spPr>
        <a:xfrm>
          <a:off x="4452747" y="5573887"/>
          <a:ext cx="37349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Dispute</a:t>
          </a:r>
        </a:p>
      </xdr:txBody>
    </xdr:sp>
    <xdr:clientData/>
  </xdr:oneCellAnchor>
  <xdr:twoCellAnchor editAs="oneCell">
    <xdr:from>
      <xdr:col>5</xdr:col>
      <xdr:colOff>127</xdr:colOff>
      <xdr:row>28</xdr:row>
      <xdr:rowOff>86360</xdr:rowOff>
    </xdr:from>
    <xdr:to>
      <xdr:col>5</xdr:col>
      <xdr:colOff>169672</xdr:colOff>
      <xdr:row>29</xdr:row>
      <xdr:rowOff>95885</xdr:rowOff>
    </xdr:to>
    <xdr:sp macro="_xll.PtreeEvent_ObjectClick" textlink="">
      <xdr:nvSpPr>
        <xdr:cNvPr id="121" name="PTObj_DNode_1_19">
          <a:extLst>
            <a:ext uri="{FF2B5EF4-FFF2-40B4-BE49-F238E27FC236}">
              <a16:creationId xmlns:a16="http://schemas.microsoft.com/office/drawing/2014/main" id="{E660E1E1-42CB-7227-A427-550DE461B83F}"/>
            </a:ext>
          </a:extLst>
        </xdr:cNvPr>
        <xdr:cNvSpPr/>
      </xdr:nvSpPr>
      <xdr:spPr>
        <a:xfrm rot="-5400000">
          <a:off x="7193407" y="520700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28</xdr:row>
      <xdr:rowOff>87487</xdr:rowOff>
    </xdr:from>
    <xdr:ext cx="400046" cy="180627"/>
    <xdr:sp macro="_xll.PtreeEvent_ObjectClick" textlink="">
      <xdr:nvSpPr>
        <xdr:cNvPr id="124" name="PTObj_DBranchName_1_19">
          <a:extLst>
            <a:ext uri="{FF2B5EF4-FFF2-40B4-BE49-F238E27FC236}">
              <a16:creationId xmlns:a16="http://schemas.microsoft.com/office/drawing/2014/main" id="{914B0626-52EF-AD2D-E947-0E78884B54F6}"/>
            </a:ext>
          </a:extLst>
        </xdr:cNvPr>
        <xdr:cNvSpPr txBox="1"/>
      </xdr:nvSpPr>
      <xdr:spPr>
        <a:xfrm>
          <a:off x="5961507" y="5208127"/>
          <a:ext cx="400046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Success</a:t>
          </a:r>
        </a:p>
      </xdr:txBody>
    </xdr:sp>
    <xdr:clientData/>
  </xdr:oneCellAnchor>
  <xdr:twoCellAnchor editAs="oneCell">
    <xdr:from>
      <xdr:col>5</xdr:col>
      <xdr:colOff>127</xdr:colOff>
      <xdr:row>32</xdr:row>
      <xdr:rowOff>86360</xdr:rowOff>
    </xdr:from>
    <xdr:to>
      <xdr:col>5</xdr:col>
      <xdr:colOff>169672</xdr:colOff>
      <xdr:row>33</xdr:row>
      <xdr:rowOff>95885</xdr:rowOff>
    </xdr:to>
    <xdr:sp macro="_xll.PtreeEvent_ObjectClick" textlink="">
      <xdr:nvSpPr>
        <xdr:cNvPr id="125" name="PTObj_DNode_1_20">
          <a:extLst>
            <a:ext uri="{FF2B5EF4-FFF2-40B4-BE49-F238E27FC236}">
              <a16:creationId xmlns:a16="http://schemas.microsoft.com/office/drawing/2014/main" id="{8ABF635D-9994-68F2-8D47-9F6253FE7D42}"/>
            </a:ext>
          </a:extLst>
        </xdr:cNvPr>
        <xdr:cNvSpPr/>
      </xdr:nvSpPr>
      <xdr:spPr>
        <a:xfrm rot="-5400000">
          <a:off x="7193407" y="593852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32</xdr:row>
      <xdr:rowOff>87486</xdr:rowOff>
    </xdr:from>
    <xdr:ext cx="336439" cy="180627"/>
    <xdr:sp macro="_xll.PtreeEvent_ObjectClick" textlink="">
      <xdr:nvSpPr>
        <xdr:cNvPr id="128" name="PTObj_DBranchName_1_20">
          <a:extLst>
            <a:ext uri="{FF2B5EF4-FFF2-40B4-BE49-F238E27FC236}">
              <a16:creationId xmlns:a16="http://schemas.microsoft.com/office/drawing/2014/main" id="{D6272B93-814B-F8B1-E4F6-23F943BC202E}"/>
            </a:ext>
          </a:extLst>
        </xdr:cNvPr>
        <xdr:cNvSpPr txBox="1"/>
      </xdr:nvSpPr>
      <xdr:spPr>
        <a:xfrm>
          <a:off x="5961507" y="5939646"/>
          <a:ext cx="33643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Failure</a:t>
          </a:r>
        </a:p>
      </xdr:txBody>
    </xdr:sp>
    <xdr:clientData/>
  </xdr:oneCellAnchor>
  <xdr:twoCellAnchor editAs="oneCell">
    <xdr:from>
      <xdr:col>4</xdr:col>
      <xdr:colOff>127</xdr:colOff>
      <xdr:row>36</xdr:row>
      <xdr:rowOff>86360</xdr:rowOff>
    </xdr:from>
    <xdr:to>
      <xdr:col>4</xdr:col>
      <xdr:colOff>169672</xdr:colOff>
      <xdr:row>37</xdr:row>
      <xdr:rowOff>95885</xdr:rowOff>
    </xdr:to>
    <xdr:sp macro="_xll.PtreeEvent_ObjectClick" textlink="">
      <xdr:nvSpPr>
        <xdr:cNvPr id="265" name="PTObj_DNode_1_11">
          <a:extLst>
            <a:ext uri="{FF2B5EF4-FFF2-40B4-BE49-F238E27FC236}">
              <a16:creationId xmlns:a16="http://schemas.microsoft.com/office/drawing/2014/main" id="{FE6C1B6C-3A19-939C-E7E4-B6E4CC03270D}"/>
            </a:ext>
          </a:extLst>
        </xdr:cNvPr>
        <xdr:cNvSpPr/>
      </xdr:nvSpPr>
      <xdr:spPr>
        <a:xfrm>
          <a:off x="5692267" y="630428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276987</xdr:colOff>
      <xdr:row>36</xdr:row>
      <xdr:rowOff>87487</xdr:rowOff>
    </xdr:from>
    <xdr:ext cx="500457" cy="180627"/>
    <xdr:sp macro="_xll.PtreeEvent_ObjectClick" textlink="">
      <xdr:nvSpPr>
        <xdr:cNvPr id="268" name="PTObj_DBranchName_1_11">
          <a:extLst>
            <a:ext uri="{FF2B5EF4-FFF2-40B4-BE49-F238E27FC236}">
              <a16:creationId xmlns:a16="http://schemas.microsoft.com/office/drawing/2014/main" id="{85BB4EB9-DAA0-9D6E-B9EC-4ACB53F65E41}"/>
            </a:ext>
          </a:extLst>
        </xdr:cNvPr>
        <xdr:cNvSpPr txBox="1"/>
      </xdr:nvSpPr>
      <xdr:spPr>
        <a:xfrm>
          <a:off x="4452747" y="6305407"/>
          <a:ext cx="50045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Agreement</a:t>
          </a:r>
        </a:p>
      </xdr:txBody>
    </xdr:sp>
    <xdr:clientData/>
  </xdr:oneCellAnchor>
  <xdr:twoCellAnchor editAs="oneCell">
    <xdr:from>
      <xdr:col>5</xdr:col>
      <xdr:colOff>127</xdr:colOff>
      <xdr:row>34</xdr:row>
      <xdr:rowOff>86360</xdr:rowOff>
    </xdr:from>
    <xdr:to>
      <xdr:col>5</xdr:col>
      <xdr:colOff>169672</xdr:colOff>
      <xdr:row>35</xdr:row>
      <xdr:rowOff>95885</xdr:rowOff>
    </xdr:to>
    <xdr:sp macro="_xll.PtreeEvent_ObjectClick" textlink="">
      <xdr:nvSpPr>
        <xdr:cNvPr id="269" name="PTObj_DNode_1_21">
          <a:extLst>
            <a:ext uri="{FF2B5EF4-FFF2-40B4-BE49-F238E27FC236}">
              <a16:creationId xmlns:a16="http://schemas.microsoft.com/office/drawing/2014/main" id="{D7C84124-E589-54D6-55A5-22A28103BD51}"/>
            </a:ext>
          </a:extLst>
        </xdr:cNvPr>
        <xdr:cNvSpPr/>
      </xdr:nvSpPr>
      <xdr:spPr>
        <a:xfrm rot="-5400000">
          <a:off x="7208647" y="630428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34</xdr:row>
      <xdr:rowOff>87487</xdr:rowOff>
    </xdr:from>
    <xdr:ext cx="400045" cy="180627"/>
    <xdr:sp macro="_xll.PtreeEvent_ObjectClick" textlink="">
      <xdr:nvSpPr>
        <xdr:cNvPr id="272" name="PTObj_DBranchName_1_21">
          <a:extLst>
            <a:ext uri="{FF2B5EF4-FFF2-40B4-BE49-F238E27FC236}">
              <a16:creationId xmlns:a16="http://schemas.microsoft.com/office/drawing/2014/main" id="{1D69059C-A414-D89C-D08C-AC211A13F56C}"/>
            </a:ext>
          </a:extLst>
        </xdr:cNvPr>
        <xdr:cNvSpPr txBox="1"/>
      </xdr:nvSpPr>
      <xdr:spPr>
        <a:xfrm>
          <a:off x="5969127" y="6305407"/>
          <a:ext cx="40004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Success</a:t>
          </a:r>
        </a:p>
      </xdr:txBody>
    </xdr:sp>
    <xdr:clientData/>
  </xdr:oneCellAnchor>
  <xdr:twoCellAnchor editAs="oneCell">
    <xdr:from>
      <xdr:col>5</xdr:col>
      <xdr:colOff>127</xdr:colOff>
      <xdr:row>38</xdr:row>
      <xdr:rowOff>86360</xdr:rowOff>
    </xdr:from>
    <xdr:to>
      <xdr:col>5</xdr:col>
      <xdr:colOff>169672</xdr:colOff>
      <xdr:row>39</xdr:row>
      <xdr:rowOff>95885</xdr:rowOff>
    </xdr:to>
    <xdr:sp macro="_xll.PtreeEvent_ObjectClick" textlink="">
      <xdr:nvSpPr>
        <xdr:cNvPr id="273" name="PTObj_DNode_1_22">
          <a:extLst>
            <a:ext uri="{FF2B5EF4-FFF2-40B4-BE49-F238E27FC236}">
              <a16:creationId xmlns:a16="http://schemas.microsoft.com/office/drawing/2014/main" id="{26723B15-5F7C-4A90-3D85-1A1C4D085C48}"/>
            </a:ext>
          </a:extLst>
        </xdr:cNvPr>
        <xdr:cNvSpPr/>
      </xdr:nvSpPr>
      <xdr:spPr>
        <a:xfrm rot="-5400000">
          <a:off x="7208647" y="703580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38</xdr:row>
      <xdr:rowOff>87486</xdr:rowOff>
    </xdr:from>
    <xdr:ext cx="336438" cy="180627"/>
    <xdr:sp macro="_xll.PtreeEvent_ObjectClick" textlink="">
      <xdr:nvSpPr>
        <xdr:cNvPr id="276" name="PTObj_DBranchName_1_22">
          <a:extLst>
            <a:ext uri="{FF2B5EF4-FFF2-40B4-BE49-F238E27FC236}">
              <a16:creationId xmlns:a16="http://schemas.microsoft.com/office/drawing/2014/main" id="{96A04B2F-663F-7423-CBF4-A13744FC15B4}"/>
            </a:ext>
          </a:extLst>
        </xdr:cNvPr>
        <xdr:cNvSpPr txBox="1"/>
      </xdr:nvSpPr>
      <xdr:spPr>
        <a:xfrm>
          <a:off x="5969127" y="7036926"/>
          <a:ext cx="336438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Failure</a:t>
          </a:r>
        </a:p>
      </xdr:txBody>
    </xdr:sp>
    <xdr:clientData/>
  </xdr:oneCellAnchor>
  <xdr:twoCellAnchor editAs="oneCell">
    <xdr:from>
      <xdr:col>4</xdr:col>
      <xdr:colOff>127</xdr:colOff>
      <xdr:row>44</xdr:row>
      <xdr:rowOff>86360</xdr:rowOff>
    </xdr:from>
    <xdr:to>
      <xdr:col>4</xdr:col>
      <xdr:colOff>169672</xdr:colOff>
      <xdr:row>45</xdr:row>
      <xdr:rowOff>95885</xdr:rowOff>
    </xdr:to>
    <xdr:sp macro="_xll.PtreeEvent_ObjectClick" textlink="">
      <xdr:nvSpPr>
        <xdr:cNvPr id="277" name="PTObj_DNode_1_12">
          <a:extLst>
            <a:ext uri="{FF2B5EF4-FFF2-40B4-BE49-F238E27FC236}">
              <a16:creationId xmlns:a16="http://schemas.microsoft.com/office/drawing/2014/main" id="{4D4C22AE-E7E5-B8E8-4BAC-4386BCC784B7}"/>
            </a:ext>
          </a:extLst>
        </xdr:cNvPr>
        <xdr:cNvSpPr/>
      </xdr:nvSpPr>
      <xdr:spPr>
        <a:xfrm>
          <a:off x="5692267" y="7767320"/>
          <a:ext cx="182880" cy="18288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276987</xdr:colOff>
      <xdr:row>44</xdr:row>
      <xdr:rowOff>87487</xdr:rowOff>
    </xdr:from>
    <xdr:ext cx="373499" cy="180627"/>
    <xdr:sp macro="_xll.PtreeEvent_ObjectClick" textlink="">
      <xdr:nvSpPr>
        <xdr:cNvPr id="280" name="PTObj_DBranchName_1_12">
          <a:extLst>
            <a:ext uri="{FF2B5EF4-FFF2-40B4-BE49-F238E27FC236}">
              <a16:creationId xmlns:a16="http://schemas.microsoft.com/office/drawing/2014/main" id="{8603C4EB-277E-EB39-D8F2-34C4E33B1A85}"/>
            </a:ext>
          </a:extLst>
        </xdr:cNvPr>
        <xdr:cNvSpPr txBox="1"/>
      </xdr:nvSpPr>
      <xdr:spPr>
        <a:xfrm>
          <a:off x="4452747" y="7768447"/>
          <a:ext cx="37349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Dispute</a:t>
          </a:r>
        </a:p>
      </xdr:txBody>
    </xdr:sp>
    <xdr:clientData/>
  </xdr:oneCellAnchor>
  <xdr:twoCellAnchor editAs="oneCell">
    <xdr:from>
      <xdr:col>5</xdr:col>
      <xdr:colOff>127</xdr:colOff>
      <xdr:row>42</xdr:row>
      <xdr:rowOff>86360</xdr:rowOff>
    </xdr:from>
    <xdr:to>
      <xdr:col>5</xdr:col>
      <xdr:colOff>169672</xdr:colOff>
      <xdr:row>43</xdr:row>
      <xdr:rowOff>95885</xdr:rowOff>
    </xdr:to>
    <xdr:sp macro="_xll.PtreeEvent_ObjectClick" textlink="">
      <xdr:nvSpPr>
        <xdr:cNvPr id="281" name="PTObj_DNode_1_23">
          <a:extLst>
            <a:ext uri="{FF2B5EF4-FFF2-40B4-BE49-F238E27FC236}">
              <a16:creationId xmlns:a16="http://schemas.microsoft.com/office/drawing/2014/main" id="{0B9D6723-8B7C-79B3-4A6C-CEF8B425A94F}"/>
            </a:ext>
          </a:extLst>
        </xdr:cNvPr>
        <xdr:cNvSpPr/>
      </xdr:nvSpPr>
      <xdr:spPr>
        <a:xfrm rot="-5400000">
          <a:off x="7208647" y="776732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42</xdr:row>
      <xdr:rowOff>87487</xdr:rowOff>
    </xdr:from>
    <xdr:ext cx="400045" cy="180627"/>
    <xdr:sp macro="_xll.PtreeEvent_ObjectClick" textlink="">
      <xdr:nvSpPr>
        <xdr:cNvPr id="284" name="PTObj_DBranchName_1_23">
          <a:extLst>
            <a:ext uri="{FF2B5EF4-FFF2-40B4-BE49-F238E27FC236}">
              <a16:creationId xmlns:a16="http://schemas.microsoft.com/office/drawing/2014/main" id="{ADEA9463-A568-C1CF-9B43-2271385AA542}"/>
            </a:ext>
          </a:extLst>
        </xdr:cNvPr>
        <xdr:cNvSpPr txBox="1"/>
      </xdr:nvSpPr>
      <xdr:spPr>
        <a:xfrm>
          <a:off x="5969127" y="7768447"/>
          <a:ext cx="40004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Success</a:t>
          </a:r>
        </a:p>
      </xdr:txBody>
    </xdr:sp>
    <xdr:clientData/>
  </xdr:oneCellAnchor>
  <xdr:twoCellAnchor editAs="oneCell">
    <xdr:from>
      <xdr:col>5</xdr:col>
      <xdr:colOff>127</xdr:colOff>
      <xdr:row>46</xdr:row>
      <xdr:rowOff>86360</xdr:rowOff>
    </xdr:from>
    <xdr:to>
      <xdr:col>5</xdr:col>
      <xdr:colOff>169672</xdr:colOff>
      <xdr:row>47</xdr:row>
      <xdr:rowOff>95885</xdr:rowOff>
    </xdr:to>
    <xdr:sp macro="_xll.PtreeEvent_ObjectClick" textlink="">
      <xdr:nvSpPr>
        <xdr:cNvPr id="285" name="PTObj_DNode_1_24">
          <a:extLst>
            <a:ext uri="{FF2B5EF4-FFF2-40B4-BE49-F238E27FC236}">
              <a16:creationId xmlns:a16="http://schemas.microsoft.com/office/drawing/2014/main" id="{E7FE2977-64AC-98FB-909B-7791E74C9707}"/>
            </a:ext>
          </a:extLst>
        </xdr:cNvPr>
        <xdr:cNvSpPr/>
      </xdr:nvSpPr>
      <xdr:spPr>
        <a:xfrm rot="-5400000">
          <a:off x="7208647" y="8498840"/>
          <a:ext cx="182880" cy="18288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276987</xdr:colOff>
      <xdr:row>46</xdr:row>
      <xdr:rowOff>87486</xdr:rowOff>
    </xdr:from>
    <xdr:ext cx="336438" cy="180627"/>
    <xdr:sp macro="_xll.PtreeEvent_ObjectClick" textlink="">
      <xdr:nvSpPr>
        <xdr:cNvPr id="288" name="PTObj_DBranchName_1_24">
          <a:extLst>
            <a:ext uri="{FF2B5EF4-FFF2-40B4-BE49-F238E27FC236}">
              <a16:creationId xmlns:a16="http://schemas.microsoft.com/office/drawing/2014/main" id="{2862D8FB-3E91-F791-094C-A26CFD149FD3}"/>
            </a:ext>
          </a:extLst>
        </xdr:cNvPr>
        <xdr:cNvSpPr txBox="1"/>
      </xdr:nvSpPr>
      <xdr:spPr>
        <a:xfrm>
          <a:off x="5969127" y="8499966"/>
          <a:ext cx="336438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en-US" sz="800"/>
            <a:t>Failure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42DF-127E-499C-867B-4A141DEEB05F}">
  <dimension ref="A1:L48"/>
  <sheetViews>
    <sheetView tabSelected="1" zoomScale="73" zoomScaleNormal="73" workbookViewId="0">
      <selection activeCell="D12" sqref="D12"/>
    </sheetView>
  </sheetViews>
  <sheetFormatPr defaultRowHeight="14.4" x14ac:dyDescent="0.3"/>
  <cols>
    <col min="1" max="1" width="16.77734375" customWidth="1"/>
    <col min="2" max="2" width="24.5546875" customWidth="1"/>
    <col min="3" max="5" width="22.109375" customWidth="1"/>
    <col min="6" max="6" width="16.77734375" customWidth="1"/>
    <col min="11" max="11" width="17.6640625" customWidth="1"/>
  </cols>
  <sheetData>
    <row r="1" spans="1:12" ht="14.4" customHeight="1" x14ac:dyDescent="0.3">
      <c r="B1" s="8" t="b">
        <f>_xll.PTreeNodeDecision(treeCalc_1!$F$2,2)</f>
        <v>0</v>
      </c>
      <c r="C1" s="4">
        <f>_xll.PTreeNodeProbability(treeCalc_1!$F$2,2)</f>
        <v>0</v>
      </c>
      <c r="K1" t="s">
        <v>75</v>
      </c>
      <c r="L1">
        <v>43.28937339133612</v>
      </c>
    </row>
    <row r="2" spans="1:12" ht="14.4" customHeight="1" x14ac:dyDescent="0.3">
      <c r="B2" s="5">
        <v>20</v>
      </c>
      <c r="C2" s="3">
        <f>_xll.PTreeNodeValue(treeCalc_1!$F$2,2)</f>
        <v>20</v>
      </c>
    </row>
    <row r="3" spans="1:12" ht="14.4" customHeight="1" x14ac:dyDescent="0.3">
      <c r="A3" s="5"/>
      <c r="B3" s="6" t="s">
        <v>46</v>
      </c>
    </row>
    <row r="4" spans="1:12" ht="14.4" customHeight="1" x14ac:dyDescent="0.3">
      <c r="A4" s="5"/>
      <c r="B4" s="7">
        <f>_xll.PTreeNodeValue(treeCalc_1!$F$2,1)</f>
        <v>50.04786</v>
      </c>
    </row>
    <row r="5" spans="1:12" ht="14.4" customHeight="1" x14ac:dyDescent="0.3">
      <c r="E5" s="11">
        <v>0.85</v>
      </c>
      <c r="F5" s="4">
        <f>_xll.PTreeNodeProbability(treeCalc_1!$F$2,13)</f>
        <v>0.10693</v>
      </c>
    </row>
    <row r="6" spans="1:12" ht="14.4" customHeight="1" x14ac:dyDescent="0.3">
      <c r="E6" s="5">
        <v>125</v>
      </c>
      <c r="F6" s="3">
        <f>_xll.PTreeNodeValue(treeCalc_1!$F$2,13)</f>
        <v>125</v>
      </c>
    </row>
    <row r="7" spans="1:12" ht="14.4" customHeight="1" x14ac:dyDescent="0.3">
      <c r="D7" s="11">
        <v>0.68</v>
      </c>
      <c r="E7" s="9" t="s">
        <v>59</v>
      </c>
    </row>
    <row r="8" spans="1:12" ht="14.4" customHeight="1" x14ac:dyDescent="0.3">
      <c r="D8" s="5">
        <v>0</v>
      </c>
      <c r="E8" s="10">
        <f>_xll.PTreeNodeValue(treeCalc_1!$F$2,7)</f>
        <v>104</v>
      </c>
    </row>
    <row r="9" spans="1:12" ht="14.4" customHeight="1" x14ac:dyDescent="0.3">
      <c r="E9" s="11">
        <v>0.15</v>
      </c>
      <c r="F9" s="4">
        <f>_xll.PTreeNodeProbability(treeCalc_1!$F$2,14)</f>
        <v>1.8869999999999998E-2</v>
      </c>
    </row>
    <row r="10" spans="1:12" ht="14.4" customHeight="1" x14ac:dyDescent="0.3">
      <c r="E10" s="5">
        <v>-15</v>
      </c>
      <c r="F10" s="3">
        <f>_xll.PTreeNodeValue(treeCalc_1!$F$2,14)</f>
        <v>-15</v>
      </c>
    </row>
    <row r="11" spans="1:12" ht="14.4" customHeight="1" x14ac:dyDescent="0.3">
      <c r="C11" s="11">
        <v>0.185</v>
      </c>
      <c r="D11" s="9" t="s">
        <v>79</v>
      </c>
    </row>
    <row r="12" spans="1:12" ht="14.4" customHeight="1" x14ac:dyDescent="0.3">
      <c r="C12" s="5">
        <v>0</v>
      </c>
      <c r="D12" s="10">
        <f>_xll.PTreeNodeValue(treeCalc_1!$F$2,4)</f>
        <v>65.92</v>
      </c>
    </row>
    <row r="13" spans="1:12" ht="14.4" customHeight="1" x14ac:dyDescent="0.3">
      <c r="E13" s="11">
        <v>0.85</v>
      </c>
      <c r="F13" s="4">
        <f>_xll.PTreeNodeProbability(treeCalc_1!$F$2,15)</f>
        <v>5.0320000000000004E-2</v>
      </c>
    </row>
    <row r="14" spans="1:12" ht="14.4" customHeight="1" x14ac:dyDescent="0.3">
      <c r="E14" s="5">
        <v>-15</v>
      </c>
      <c r="F14" s="3">
        <f>_xll.PTreeNodeValue(treeCalc_1!$F$2,15)</f>
        <v>-15</v>
      </c>
    </row>
    <row r="15" spans="1:12" ht="14.4" customHeight="1" x14ac:dyDescent="0.3">
      <c r="D15" s="11">
        <v>0.32</v>
      </c>
      <c r="E15" s="9" t="s">
        <v>59</v>
      </c>
    </row>
    <row r="16" spans="1:12" ht="14.4" customHeight="1" x14ac:dyDescent="0.3">
      <c r="D16" s="5">
        <v>0</v>
      </c>
      <c r="E16" s="10">
        <f>_xll.PTreeNodeValue(treeCalc_1!$F$2,8)</f>
        <v>-15</v>
      </c>
    </row>
    <row r="17" spans="2:11" ht="14.4" customHeight="1" x14ac:dyDescent="0.3">
      <c r="E17" s="11">
        <v>0.15</v>
      </c>
      <c r="F17" s="4">
        <f>_xll.PTreeNodeProbability(treeCalc_1!$F$2,16)</f>
        <v>8.8800000000000007E-3</v>
      </c>
      <c r="K17" t="s">
        <v>74</v>
      </c>
    </row>
    <row r="18" spans="2:11" ht="14.4" customHeight="1" x14ac:dyDescent="0.3">
      <c r="E18" s="5">
        <v>-15</v>
      </c>
      <c r="F18" s="3">
        <f>_xll.PTreeNodeValue(treeCalc_1!$F$2,16)</f>
        <v>-15</v>
      </c>
    </row>
    <row r="19" spans="2:11" ht="14.4" customHeight="1" x14ac:dyDescent="0.3">
      <c r="B19" s="8" t="b">
        <f>_xll.PTreeNodeDecision(treeCalc_1!$F$2,3)</f>
        <v>1</v>
      </c>
      <c r="C19" s="9" t="s">
        <v>78</v>
      </c>
    </row>
    <row r="20" spans="2:11" ht="14.4" customHeight="1" x14ac:dyDescent="0.3">
      <c r="B20" s="5">
        <v>0</v>
      </c>
      <c r="C20" s="10">
        <f>_xll.PTreeNodeValue(treeCalc_1!$F$2,3)</f>
        <v>50.04786</v>
      </c>
    </row>
    <row r="21" spans="2:11" ht="14.4" customHeight="1" x14ac:dyDescent="0.3">
      <c r="E21" s="11">
        <v>0.85</v>
      </c>
      <c r="F21" s="4">
        <f>_xll.PTreeNodeProbability(treeCalc_1!$F$2,17)</f>
        <v>0.36414000000000002</v>
      </c>
    </row>
    <row r="22" spans="2:11" ht="14.4" customHeight="1" x14ac:dyDescent="0.3">
      <c r="E22" s="5">
        <v>100</v>
      </c>
      <c r="F22" s="3">
        <f>_xll.PTreeNodeValue(treeCalc_1!$F$2,17)</f>
        <v>100</v>
      </c>
    </row>
    <row r="23" spans="2:11" ht="14.4" customHeight="1" x14ac:dyDescent="0.3">
      <c r="D23" s="11">
        <v>0.68</v>
      </c>
      <c r="E23" s="9" t="s">
        <v>80</v>
      </c>
    </row>
    <row r="24" spans="2:11" ht="14.4" customHeight="1" x14ac:dyDescent="0.3">
      <c r="D24" s="5">
        <v>0</v>
      </c>
      <c r="E24" s="10">
        <f>_xll.PTreeNodeValue(treeCalc_1!$F$2,9)</f>
        <v>82.3</v>
      </c>
    </row>
    <row r="25" spans="2:11" ht="14.4" customHeight="1" x14ac:dyDescent="0.3">
      <c r="E25" s="11">
        <v>0.15</v>
      </c>
      <c r="F25" s="4">
        <f>_xll.PTreeNodeProbability(treeCalc_1!$F$2,18)</f>
        <v>6.4260000000000012E-2</v>
      </c>
    </row>
    <row r="26" spans="2:11" ht="14.4" customHeight="1" x14ac:dyDescent="0.3">
      <c r="E26" s="5">
        <v>-18</v>
      </c>
      <c r="F26" s="3">
        <f>_xll.PTreeNodeValue(treeCalc_1!$F$2,18)</f>
        <v>-18</v>
      </c>
    </row>
    <row r="27" spans="2:11" ht="14.4" customHeight="1" x14ac:dyDescent="0.3">
      <c r="C27" s="11">
        <v>0.63</v>
      </c>
      <c r="D27" s="9" t="s">
        <v>79</v>
      </c>
    </row>
    <row r="28" spans="2:11" ht="14.4" customHeight="1" x14ac:dyDescent="0.3">
      <c r="C28" s="5">
        <v>0</v>
      </c>
      <c r="D28" s="10">
        <f>_xll.PTreeNodeValue(treeCalc_1!$F$2,5)</f>
        <v>50.204000000000001</v>
      </c>
    </row>
    <row r="29" spans="2:11" ht="14.4" customHeight="1" x14ac:dyDescent="0.3">
      <c r="E29" s="11">
        <v>0.85</v>
      </c>
      <c r="F29" s="4">
        <f>_xll.PTreeNodeProbability(treeCalc_1!$F$2,19)</f>
        <v>0.17135999999999998</v>
      </c>
    </row>
    <row r="30" spans="2:11" ht="14.4" customHeight="1" x14ac:dyDescent="0.3">
      <c r="E30" s="5">
        <v>-18</v>
      </c>
      <c r="F30" s="3">
        <f>_xll.PTreeNodeValue(treeCalc_1!$F$2,19)</f>
        <v>-18</v>
      </c>
    </row>
    <row r="31" spans="2:11" ht="14.4" customHeight="1" x14ac:dyDescent="0.3">
      <c r="D31" s="11">
        <v>0.32</v>
      </c>
      <c r="E31" s="9" t="s">
        <v>80</v>
      </c>
    </row>
    <row r="32" spans="2:11" ht="14.4" customHeight="1" x14ac:dyDescent="0.3">
      <c r="D32" s="5">
        <v>0</v>
      </c>
      <c r="E32" s="10">
        <f>_xll.PTreeNodeValue(treeCalc_1!$F$2,10)</f>
        <v>-18</v>
      </c>
    </row>
    <row r="33" spans="3:6" ht="14.4" customHeight="1" x14ac:dyDescent="0.3">
      <c r="E33" s="11">
        <v>0.15</v>
      </c>
      <c r="F33" s="4">
        <f>_xll.PTreeNodeProbability(treeCalc_1!$F$2,20)</f>
        <v>3.024E-2</v>
      </c>
    </row>
    <row r="34" spans="3:6" ht="14.4" customHeight="1" x14ac:dyDescent="0.3">
      <c r="E34" s="5">
        <v>-18</v>
      </c>
      <c r="F34" s="3">
        <f>_xll.PTreeNodeValue(treeCalc_1!$F$2,20)</f>
        <v>-18</v>
      </c>
    </row>
    <row r="35" spans="3:6" ht="14.4" customHeight="1" x14ac:dyDescent="0.3">
      <c r="E35" s="11">
        <v>0.85</v>
      </c>
      <c r="F35" s="4">
        <f>_xll.PTreeNodeProbability(treeCalc_1!$F$2,21)</f>
        <v>0.10693</v>
      </c>
    </row>
    <row r="36" spans="3:6" ht="14.4" customHeight="1" x14ac:dyDescent="0.3">
      <c r="E36" s="5">
        <v>75</v>
      </c>
      <c r="F36" s="3">
        <f>_xll.PTreeNodeValue(treeCalc_1!$F$2,21)</f>
        <v>75</v>
      </c>
    </row>
    <row r="37" spans="3:6" ht="14.4" customHeight="1" x14ac:dyDescent="0.3">
      <c r="D37" s="11">
        <v>0.68</v>
      </c>
      <c r="E37" s="9" t="s">
        <v>80</v>
      </c>
    </row>
    <row r="38" spans="3:6" ht="14.4" customHeight="1" x14ac:dyDescent="0.3">
      <c r="D38" s="5">
        <v>0</v>
      </c>
      <c r="E38" s="10">
        <f>_xll.PTreeNodeValue(treeCalc_1!$F$2,11)</f>
        <v>60.3</v>
      </c>
    </row>
    <row r="39" spans="3:6" ht="14.4" customHeight="1" x14ac:dyDescent="0.3">
      <c r="E39" s="11">
        <v>0.15</v>
      </c>
      <c r="F39" s="4">
        <f>_xll.PTreeNodeProbability(treeCalc_1!$F$2,22)</f>
        <v>1.8869999999999998E-2</v>
      </c>
    </row>
    <row r="40" spans="3:6" ht="14.4" customHeight="1" x14ac:dyDescent="0.3">
      <c r="E40" s="5">
        <v>-23</v>
      </c>
      <c r="F40" s="3">
        <f>_xll.PTreeNodeValue(treeCalc_1!$F$2,22)</f>
        <v>-23</v>
      </c>
    </row>
    <row r="41" spans="3:6" ht="14.4" customHeight="1" x14ac:dyDescent="0.3">
      <c r="C41" s="11">
        <v>0.185</v>
      </c>
      <c r="D41" s="9" t="s">
        <v>79</v>
      </c>
    </row>
    <row r="42" spans="3:6" ht="14.4" customHeight="1" x14ac:dyDescent="0.3">
      <c r="C42" s="5">
        <v>0</v>
      </c>
      <c r="D42" s="10">
        <f>_xll.PTreeNodeValue(treeCalc_1!$F$2,6)</f>
        <v>33.643999999999998</v>
      </c>
    </row>
    <row r="43" spans="3:6" ht="14.4" customHeight="1" x14ac:dyDescent="0.3">
      <c r="E43" s="11">
        <v>0.85</v>
      </c>
      <c r="F43" s="4">
        <f>_xll.PTreeNodeProbability(treeCalc_1!$F$2,23)</f>
        <v>5.0320000000000004E-2</v>
      </c>
    </row>
    <row r="44" spans="3:6" ht="14.4" customHeight="1" x14ac:dyDescent="0.3">
      <c r="E44" s="5">
        <v>-23</v>
      </c>
      <c r="F44" s="3">
        <f>_xll.PTreeNodeValue(treeCalc_1!$F$2,23)</f>
        <v>-23</v>
      </c>
    </row>
    <row r="45" spans="3:6" ht="14.4" customHeight="1" x14ac:dyDescent="0.3">
      <c r="D45" s="11">
        <v>0.32</v>
      </c>
      <c r="E45" s="9" t="s">
        <v>80</v>
      </c>
    </row>
    <row r="46" spans="3:6" ht="14.4" customHeight="1" x14ac:dyDescent="0.3">
      <c r="D46" s="5">
        <v>0</v>
      </c>
      <c r="E46" s="10">
        <f>_xll.PTreeNodeValue(treeCalc_1!$F$2,12)</f>
        <v>-23</v>
      </c>
    </row>
    <row r="47" spans="3:6" ht="14.4" customHeight="1" x14ac:dyDescent="0.3">
      <c r="E47" s="11">
        <v>0.15</v>
      </c>
      <c r="F47" s="4">
        <f>_xll.PTreeNodeProbability(treeCalc_1!$F$2,24)</f>
        <v>8.8800000000000007E-3</v>
      </c>
    </row>
    <row r="48" spans="3:6" ht="14.4" customHeight="1" x14ac:dyDescent="0.3">
      <c r="E48" s="5">
        <v>-23</v>
      </c>
      <c r="F48" s="3">
        <f>_xll.PTreeNodeValue(treeCalc_1!$F$2,24)</f>
        <v>-23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C19D-D069-4E4C-AC1C-6754B528DC2A}">
  <dimension ref="A1:P34"/>
  <sheetViews>
    <sheetView workbookViewId="0"/>
  </sheetViews>
  <sheetFormatPr defaultColWidth="15.77734375" defaultRowHeight="14.4" x14ac:dyDescent="0.3"/>
  <cols>
    <col min="1" max="16384" width="15.77734375" style="2"/>
  </cols>
  <sheetData>
    <row r="1" spans="1:16" x14ac:dyDescent="0.3">
      <c r="A1" s="2" t="s">
        <v>1</v>
      </c>
      <c r="B1" s="1" t="s">
        <v>45</v>
      </c>
      <c r="E1" s="2" t="s">
        <v>9</v>
      </c>
      <c r="F1" s="2">
        <v>3</v>
      </c>
      <c r="H1" s="2" t="s">
        <v>16</v>
      </c>
      <c r="I1" s="1" t="s">
        <v>42</v>
      </c>
      <c r="K1" s="2" t="s">
        <v>21</v>
      </c>
      <c r="L1" s="2">
        <f>Sheet1!$L$1</f>
        <v>43.28937339133612</v>
      </c>
    </row>
    <row r="2" spans="1:16" x14ac:dyDescent="0.3">
      <c r="A2" s="2" t="s">
        <v>2</v>
      </c>
      <c r="B2" s="2" t="e">
        <f>Sheet1!#REF!</f>
        <v>#REF!</v>
      </c>
      <c r="E2" s="2" t="s">
        <v>11</v>
      </c>
      <c r="F2" s="2">
        <f>_xll.PTreeEvaluate5(B3,$L$11:$L$34,$J$11:$J$34,$K$11:$K$34,$N$11:$N$34,$G$11:$G$34,,L1)</f>
        <v>488833</v>
      </c>
    </row>
    <row r="3" spans="1:16" x14ac:dyDescent="0.3">
      <c r="A3" s="2" t="s">
        <v>3</v>
      </c>
      <c r="B3" s="2" t="s">
        <v>76</v>
      </c>
      <c r="E3" s="2" t="s">
        <v>12</v>
      </c>
      <c r="F3" s="1" t="s">
        <v>38</v>
      </c>
      <c r="H3" s="2" t="s">
        <v>17</v>
      </c>
      <c r="I3" s="12" t="s">
        <v>40</v>
      </c>
    </row>
    <row r="4" spans="1:16" x14ac:dyDescent="0.3">
      <c r="A4" s="2" t="s">
        <v>4</v>
      </c>
      <c r="B4" s="2" t="s">
        <v>37</v>
      </c>
      <c r="E4" s="2" t="s">
        <v>13</v>
      </c>
      <c r="F4" s="1" t="s">
        <v>39</v>
      </c>
      <c r="H4" s="2" t="s">
        <v>18</v>
      </c>
      <c r="I4" s="1" t="s">
        <v>41</v>
      </c>
    </row>
    <row r="5" spans="1:16" x14ac:dyDescent="0.3">
      <c r="A5" s="2" t="s">
        <v>5</v>
      </c>
      <c r="B5" s="2">
        <v>0</v>
      </c>
      <c r="E5" s="2" t="s">
        <v>14</v>
      </c>
      <c r="F5" s="1" t="s">
        <v>39</v>
      </c>
      <c r="H5" s="2" t="s">
        <v>19</v>
      </c>
      <c r="I5" s="12" t="s">
        <v>40</v>
      </c>
    </row>
    <row r="6" spans="1:16" x14ac:dyDescent="0.3">
      <c r="A6" s="2" t="s">
        <v>6</v>
      </c>
      <c r="E6" s="2" t="s">
        <v>15</v>
      </c>
      <c r="F6" s="1" t="s">
        <v>38</v>
      </c>
      <c r="H6" s="2" t="s">
        <v>20</v>
      </c>
      <c r="I6" s="1" t="s">
        <v>41</v>
      </c>
    </row>
    <row r="7" spans="1:16" x14ac:dyDescent="0.3">
      <c r="A7" s="2" t="s">
        <v>7</v>
      </c>
      <c r="E7" s="2" t="s">
        <v>10</v>
      </c>
      <c r="F7" s="1" t="s">
        <v>0</v>
      </c>
    </row>
    <row r="8" spans="1:16" x14ac:dyDescent="0.3">
      <c r="A8" s="2" t="s">
        <v>8</v>
      </c>
      <c r="B8" s="2">
        <v>24</v>
      </c>
    </row>
    <row r="10" spans="1:16" x14ac:dyDescent="0.3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32</v>
      </c>
      <c r="L10" s="2" t="s">
        <v>3</v>
      </c>
      <c r="M10" s="2" t="s">
        <v>33</v>
      </c>
      <c r="N10" s="2" t="s">
        <v>34</v>
      </c>
      <c r="O10" s="2" t="s">
        <v>35</v>
      </c>
      <c r="P10" s="2" t="s">
        <v>36</v>
      </c>
    </row>
    <row r="11" spans="1:16" x14ac:dyDescent="0.3">
      <c r="A11" s="2">
        <f>Sheet1!$B$4</f>
        <v>50.04786</v>
      </c>
      <c r="B11" s="2" t="str">
        <f>B1</f>
        <v>Interplants</v>
      </c>
      <c r="C11" s="2">
        <v>0</v>
      </c>
      <c r="I11" s="2" t="s">
        <v>43</v>
      </c>
      <c r="J11" s="2">
        <f>Sheet1!$A$4</f>
        <v>0</v>
      </c>
      <c r="K11" s="2">
        <f>Sheet1!$A$3</f>
        <v>0</v>
      </c>
      <c r="L11" s="2" t="s">
        <v>48</v>
      </c>
      <c r="M11" s="1" t="s">
        <v>44</v>
      </c>
      <c r="O11" s="2" t="str">
        <f>Sheet1!$B$3</f>
        <v>Decision</v>
      </c>
      <c r="P11" s="2" t="b">
        <v>0</v>
      </c>
    </row>
    <row r="12" spans="1:16" x14ac:dyDescent="0.3">
      <c r="A12" s="2">
        <f>Sheet1!$C$2</f>
        <v>20</v>
      </c>
      <c r="B12" s="1" t="s">
        <v>49</v>
      </c>
      <c r="C12" s="2">
        <v>0</v>
      </c>
      <c r="H12" s="2" t="s">
        <v>43</v>
      </c>
      <c r="I12" s="2" t="s">
        <v>43</v>
      </c>
      <c r="J12" s="2">
        <f>Sheet1!$B$2</f>
        <v>20</v>
      </c>
      <c r="L12" s="2" t="s">
        <v>47</v>
      </c>
      <c r="M12" s="1" t="s">
        <v>44</v>
      </c>
      <c r="P12" s="2" t="b">
        <v>0</v>
      </c>
    </row>
    <row r="13" spans="1:16" x14ac:dyDescent="0.3">
      <c r="A13" s="2">
        <f>Sheet1!$C$20</f>
        <v>50.04786</v>
      </c>
      <c r="B13" s="1" t="s">
        <v>77</v>
      </c>
      <c r="C13" s="2">
        <v>0</v>
      </c>
      <c r="I13" s="2" t="s">
        <v>43</v>
      </c>
      <c r="J13" s="2">
        <f>Sheet1!$B$20</f>
        <v>0</v>
      </c>
      <c r="L13" s="2" t="s">
        <v>50</v>
      </c>
      <c r="M13" s="1" t="s">
        <v>44</v>
      </c>
      <c r="O13" s="2" t="str">
        <f>Sheet1!$C$19</f>
        <v>Production cost uncertainty</v>
      </c>
      <c r="P13" s="2" t="b">
        <v>0</v>
      </c>
    </row>
    <row r="14" spans="1:16" x14ac:dyDescent="0.3">
      <c r="A14" s="2">
        <f>Sheet1!$D$12</f>
        <v>65.92</v>
      </c>
      <c r="B14" s="1" t="s">
        <v>51</v>
      </c>
      <c r="C14" s="2">
        <v>0</v>
      </c>
      <c r="I14" s="2" t="s">
        <v>43</v>
      </c>
      <c r="J14" s="2">
        <f>Sheet1!$C$12</f>
        <v>0</v>
      </c>
      <c r="K14" s="2">
        <f>Sheet1!$C$11</f>
        <v>0.185</v>
      </c>
      <c r="L14" s="2" t="s">
        <v>54</v>
      </c>
      <c r="M14" s="1" t="s">
        <v>44</v>
      </c>
      <c r="O14" s="2" t="str">
        <f>Sheet1!$D$11</f>
        <v>Contract/settlement outcomes</v>
      </c>
      <c r="P14" s="2" t="b">
        <v>0</v>
      </c>
    </row>
    <row r="15" spans="1:16" x14ac:dyDescent="0.3">
      <c r="A15" s="2">
        <f>Sheet1!$D$28</f>
        <v>50.204000000000001</v>
      </c>
      <c r="B15" s="1" t="s">
        <v>52</v>
      </c>
      <c r="C15" s="2">
        <v>0</v>
      </c>
      <c r="I15" s="2" t="s">
        <v>43</v>
      </c>
      <c r="J15" s="2">
        <f>Sheet1!$C$28</f>
        <v>0</v>
      </c>
      <c r="K15" s="2">
        <f>Sheet1!$C$27</f>
        <v>0.63</v>
      </c>
      <c r="L15" s="2" t="s">
        <v>57</v>
      </c>
      <c r="M15" s="1" t="s">
        <v>44</v>
      </c>
      <c r="O15" s="2" t="str">
        <f>Sheet1!$D$27</f>
        <v>Contract/settlement outcomes</v>
      </c>
      <c r="P15" s="2" t="b">
        <v>0</v>
      </c>
    </row>
    <row r="16" spans="1:16" x14ac:dyDescent="0.3">
      <c r="A16" s="2">
        <f>Sheet1!$D$42</f>
        <v>33.643999999999998</v>
      </c>
      <c r="B16" s="1" t="s">
        <v>53</v>
      </c>
      <c r="C16" s="2">
        <v>0</v>
      </c>
      <c r="I16" s="2" t="s">
        <v>43</v>
      </c>
      <c r="J16" s="2">
        <f>Sheet1!$C$42</f>
        <v>0</v>
      </c>
      <c r="K16" s="2">
        <f>Sheet1!$C$41</f>
        <v>0.185</v>
      </c>
      <c r="L16" s="2" t="s">
        <v>58</v>
      </c>
      <c r="M16" s="1" t="s">
        <v>44</v>
      </c>
      <c r="O16" s="2" t="str">
        <f>Sheet1!$D$41</f>
        <v>Contract/settlement outcomes</v>
      </c>
      <c r="P16" s="2" t="b">
        <v>0</v>
      </c>
    </row>
    <row r="17" spans="1:16" x14ac:dyDescent="0.3">
      <c r="A17" s="2">
        <f>Sheet1!$E$8</f>
        <v>104</v>
      </c>
      <c r="B17" s="1" t="s">
        <v>55</v>
      </c>
      <c r="C17" s="2">
        <v>0</v>
      </c>
      <c r="I17" s="2" t="s">
        <v>43</v>
      </c>
      <c r="J17" s="2">
        <f>Sheet1!$D$8</f>
        <v>0</v>
      </c>
      <c r="K17" s="2">
        <f>Sheet1!$D$7</f>
        <v>0.68</v>
      </c>
      <c r="L17" s="2" t="s">
        <v>61</v>
      </c>
      <c r="M17" s="1" t="s">
        <v>44</v>
      </c>
      <c r="O17" s="2" t="str">
        <f>Sheet1!$E$7</f>
        <v>Ion Engine</v>
      </c>
      <c r="P17" s="2" t="b">
        <v>0</v>
      </c>
    </row>
    <row r="18" spans="1:16" x14ac:dyDescent="0.3">
      <c r="A18" s="2">
        <f>Sheet1!$E$16</f>
        <v>-15</v>
      </c>
      <c r="B18" s="1" t="s">
        <v>56</v>
      </c>
      <c r="C18" s="2">
        <v>0</v>
      </c>
      <c r="I18" s="2" t="s">
        <v>43</v>
      </c>
      <c r="J18" s="2">
        <f>Sheet1!$D$16</f>
        <v>0</v>
      </c>
      <c r="K18" s="2">
        <f>Sheet1!$D$15</f>
        <v>0.32</v>
      </c>
      <c r="L18" s="2" t="s">
        <v>64</v>
      </c>
      <c r="M18" s="1" t="s">
        <v>44</v>
      </c>
      <c r="O18" s="2" t="str">
        <f>Sheet1!$E$15</f>
        <v>Ion Engine</v>
      </c>
      <c r="P18" s="2" t="b">
        <v>0</v>
      </c>
    </row>
    <row r="19" spans="1:16" x14ac:dyDescent="0.3">
      <c r="A19" s="2">
        <f>Sheet1!$E$24</f>
        <v>82.3</v>
      </c>
      <c r="B19" s="1" t="s">
        <v>55</v>
      </c>
      <c r="C19" s="2">
        <v>0</v>
      </c>
      <c r="I19" s="2" t="s">
        <v>43</v>
      </c>
      <c r="J19" s="2">
        <f>Sheet1!$D$24</f>
        <v>0</v>
      </c>
      <c r="K19" s="2">
        <f>Sheet1!$D$23</f>
        <v>0.68</v>
      </c>
      <c r="L19" s="2" t="s">
        <v>66</v>
      </c>
      <c r="M19" s="1" t="s">
        <v>44</v>
      </c>
      <c r="O19" s="2" t="str">
        <f>Sheet1!$E$23</f>
        <v>Technical success/failure</v>
      </c>
      <c r="P19" s="2" t="b">
        <v>0</v>
      </c>
    </row>
    <row r="20" spans="1:16" x14ac:dyDescent="0.3">
      <c r="A20" s="2">
        <f>Sheet1!$E$32</f>
        <v>-18</v>
      </c>
      <c r="B20" s="1" t="s">
        <v>56</v>
      </c>
      <c r="C20" s="2">
        <v>0</v>
      </c>
      <c r="I20" s="2" t="s">
        <v>43</v>
      </c>
      <c r="J20" s="2">
        <f>Sheet1!$D$32</f>
        <v>0</v>
      </c>
      <c r="K20" s="2">
        <f>Sheet1!$D$31</f>
        <v>0.32</v>
      </c>
      <c r="L20" s="2" t="s">
        <v>68</v>
      </c>
      <c r="M20" s="1" t="s">
        <v>44</v>
      </c>
      <c r="O20" s="2" t="str">
        <f>Sheet1!$E$31</f>
        <v>Technical success/failure</v>
      </c>
      <c r="P20" s="2" t="b">
        <v>0</v>
      </c>
    </row>
    <row r="21" spans="1:16" x14ac:dyDescent="0.3">
      <c r="A21" s="2">
        <f>Sheet1!$E$38</f>
        <v>60.3</v>
      </c>
      <c r="B21" s="1" t="s">
        <v>55</v>
      </c>
      <c r="C21" s="2">
        <v>0</v>
      </c>
      <c r="I21" s="2" t="s">
        <v>43</v>
      </c>
      <c r="J21" s="2">
        <f>Sheet1!$D$38</f>
        <v>0</v>
      </c>
      <c r="K21" s="2">
        <f>Sheet1!$D$37</f>
        <v>0.68</v>
      </c>
      <c r="L21" s="2" t="s">
        <v>70</v>
      </c>
      <c r="M21" s="1" t="s">
        <v>44</v>
      </c>
      <c r="O21" s="2" t="str">
        <f>Sheet1!$E$37</f>
        <v>Technical success/failure</v>
      </c>
      <c r="P21" s="2" t="b">
        <v>0</v>
      </c>
    </row>
    <row r="22" spans="1:16" x14ac:dyDescent="0.3">
      <c r="A22" s="2">
        <f>Sheet1!$E$46</f>
        <v>-23</v>
      </c>
      <c r="B22" s="1" t="s">
        <v>56</v>
      </c>
      <c r="C22" s="2">
        <v>0</v>
      </c>
      <c r="I22" s="2" t="s">
        <v>43</v>
      </c>
      <c r="J22" s="2">
        <f>Sheet1!$D$46</f>
        <v>0</v>
      </c>
      <c r="K22" s="2">
        <f>Sheet1!$D$45</f>
        <v>0.32</v>
      </c>
      <c r="L22" s="2" t="s">
        <v>72</v>
      </c>
      <c r="M22" s="1" t="s">
        <v>44</v>
      </c>
      <c r="O22" s="2" t="str">
        <f>Sheet1!$E$45</f>
        <v>Technical success/failure</v>
      </c>
      <c r="P22" s="2" t="b">
        <v>0</v>
      </c>
    </row>
    <row r="23" spans="1:16" x14ac:dyDescent="0.3">
      <c r="A23" s="2">
        <f>Sheet1!$F$6</f>
        <v>125</v>
      </c>
      <c r="B23" s="1" t="s">
        <v>62</v>
      </c>
      <c r="C23" s="2">
        <v>0</v>
      </c>
      <c r="H23" s="2" t="s">
        <v>43</v>
      </c>
      <c r="I23" s="2" t="s">
        <v>43</v>
      </c>
      <c r="J23" s="2">
        <f>Sheet1!$E$6</f>
        <v>125</v>
      </c>
      <c r="K23" s="2">
        <f>Sheet1!$E$5</f>
        <v>0.85</v>
      </c>
      <c r="L23" s="2" t="s">
        <v>60</v>
      </c>
      <c r="M23" s="1" t="s">
        <v>44</v>
      </c>
      <c r="P23" s="2" t="b">
        <v>0</v>
      </c>
    </row>
    <row r="24" spans="1:16" x14ac:dyDescent="0.3">
      <c r="A24" s="2">
        <f>Sheet1!$F$10</f>
        <v>-15</v>
      </c>
      <c r="B24" s="1" t="s">
        <v>63</v>
      </c>
      <c r="C24" s="2">
        <v>0</v>
      </c>
      <c r="H24" s="2" t="s">
        <v>43</v>
      </c>
      <c r="I24" s="2" t="s">
        <v>43</v>
      </c>
      <c r="J24" s="2">
        <f>Sheet1!$E$10</f>
        <v>-15</v>
      </c>
      <c r="K24" s="2">
        <f>Sheet1!$E$9</f>
        <v>0.15</v>
      </c>
      <c r="L24" s="2" t="s">
        <v>60</v>
      </c>
      <c r="M24" s="1" t="s">
        <v>44</v>
      </c>
      <c r="P24" s="2" t="b">
        <v>0</v>
      </c>
    </row>
    <row r="25" spans="1:16" x14ac:dyDescent="0.3">
      <c r="A25" s="2">
        <f>Sheet1!$F$14</f>
        <v>-15</v>
      </c>
      <c r="B25" s="1" t="s">
        <v>62</v>
      </c>
      <c r="C25" s="2">
        <v>0</v>
      </c>
      <c r="H25" s="2" t="s">
        <v>43</v>
      </c>
      <c r="I25" s="2" t="s">
        <v>43</v>
      </c>
      <c r="J25" s="2">
        <f>Sheet1!$E$14</f>
        <v>-15</v>
      </c>
      <c r="K25" s="2">
        <f>Sheet1!$E$13</f>
        <v>0.85</v>
      </c>
      <c r="L25" s="2" t="s">
        <v>65</v>
      </c>
      <c r="M25" s="1" t="s">
        <v>44</v>
      </c>
      <c r="P25" s="2" t="b">
        <v>0</v>
      </c>
    </row>
    <row r="26" spans="1:16" x14ac:dyDescent="0.3">
      <c r="A26" s="2">
        <f>Sheet1!$F$18</f>
        <v>-15</v>
      </c>
      <c r="B26" s="1" t="s">
        <v>63</v>
      </c>
      <c r="C26" s="2">
        <v>0</v>
      </c>
      <c r="H26" s="2" t="s">
        <v>43</v>
      </c>
      <c r="I26" s="2" t="s">
        <v>43</v>
      </c>
      <c r="J26" s="2">
        <f>Sheet1!$E$18</f>
        <v>-15</v>
      </c>
      <c r="K26" s="2">
        <f>Sheet1!$E$17</f>
        <v>0.15</v>
      </c>
      <c r="L26" s="2" t="s">
        <v>65</v>
      </c>
      <c r="M26" s="1" t="s">
        <v>44</v>
      </c>
      <c r="P26" s="2" t="b">
        <v>0</v>
      </c>
    </row>
    <row r="27" spans="1:16" x14ac:dyDescent="0.3">
      <c r="A27" s="2">
        <f>Sheet1!$F$22</f>
        <v>100</v>
      </c>
      <c r="B27" s="1" t="s">
        <v>62</v>
      </c>
      <c r="C27" s="2">
        <v>0</v>
      </c>
      <c r="H27" s="2" t="s">
        <v>43</v>
      </c>
      <c r="I27" s="2" t="s">
        <v>43</v>
      </c>
      <c r="J27" s="2">
        <f>Sheet1!$E$22</f>
        <v>100</v>
      </c>
      <c r="K27" s="2">
        <f>Sheet1!$E$21</f>
        <v>0.85</v>
      </c>
      <c r="L27" s="2" t="s">
        <v>67</v>
      </c>
      <c r="M27" s="1" t="s">
        <v>44</v>
      </c>
      <c r="P27" s="2" t="b">
        <v>0</v>
      </c>
    </row>
    <row r="28" spans="1:16" x14ac:dyDescent="0.3">
      <c r="A28" s="2">
        <f>Sheet1!$F$26</f>
        <v>-18</v>
      </c>
      <c r="B28" s="1" t="s">
        <v>63</v>
      </c>
      <c r="C28" s="2">
        <v>0</v>
      </c>
      <c r="H28" s="2" t="s">
        <v>43</v>
      </c>
      <c r="I28" s="2" t="s">
        <v>43</v>
      </c>
      <c r="J28" s="2">
        <f>Sheet1!$E$26</f>
        <v>-18</v>
      </c>
      <c r="K28" s="2">
        <f>Sheet1!$E$25</f>
        <v>0.15</v>
      </c>
      <c r="L28" s="2" t="s">
        <v>67</v>
      </c>
      <c r="M28" s="1" t="s">
        <v>44</v>
      </c>
      <c r="P28" s="2" t="b">
        <v>0</v>
      </c>
    </row>
    <row r="29" spans="1:16" x14ac:dyDescent="0.3">
      <c r="A29" s="2">
        <f>Sheet1!$F$30</f>
        <v>-18</v>
      </c>
      <c r="B29" s="1" t="s">
        <v>62</v>
      </c>
      <c r="C29" s="2">
        <v>0</v>
      </c>
      <c r="H29" s="2" t="s">
        <v>43</v>
      </c>
      <c r="I29" s="2" t="s">
        <v>43</v>
      </c>
      <c r="J29" s="2">
        <f>Sheet1!$E$30</f>
        <v>-18</v>
      </c>
      <c r="K29" s="2">
        <f>Sheet1!$E$29</f>
        <v>0.85</v>
      </c>
      <c r="L29" s="2" t="s">
        <v>69</v>
      </c>
      <c r="M29" s="1" t="s">
        <v>44</v>
      </c>
      <c r="P29" s="2" t="b">
        <v>0</v>
      </c>
    </row>
    <row r="30" spans="1:16" x14ac:dyDescent="0.3">
      <c r="A30" s="2">
        <f>Sheet1!$F$34</f>
        <v>-18</v>
      </c>
      <c r="B30" s="1" t="s">
        <v>63</v>
      </c>
      <c r="C30" s="2">
        <v>0</v>
      </c>
      <c r="H30" s="2" t="s">
        <v>43</v>
      </c>
      <c r="I30" s="2" t="s">
        <v>43</v>
      </c>
      <c r="J30" s="2">
        <f>Sheet1!$E$34</f>
        <v>-18</v>
      </c>
      <c r="K30" s="2">
        <f>Sheet1!$E$33</f>
        <v>0.15</v>
      </c>
      <c r="L30" s="2" t="s">
        <v>69</v>
      </c>
      <c r="M30" s="1" t="s">
        <v>44</v>
      </c>
      <c r="P30" s="2" t="b">
        <v>0</v>
      </c>
    </row>
    <row r="31" spans="1:16" x14ac:dyDescent="0.3">
      <c r="A31" s="2">
        <f>Sheet1!$F$36</f>
        <v>75</v>
      </c>
      <c r="B31" s="1" t="s">
        <v>62</v>
      </c>
      <c r="C31" s="2">
        <v>0</v>
      </c>
      <c r="H31" s="2" t="s">
        <v>43</v>
      </c>
      <c r="I31" s="2" t="s">
        <v>43</v>
      </c>
      <c r="J31" s="2">
        <f>Sheet1!$E$36</f>
        <v>75</v>
      </c>
      <c r="K31" s="2">
        <f>Sheet1!$E$35</f>
        <v>0.85</v>
      </c>
      <c r="L31" s="2" t="s">
        <v>71</v>
      </c>
      <c r="M31" s="1" t="s">
        <v>44</v>
      </c>
      <c r="P31" s="2" t="b">
        <v>0</v>
      </c>
    </row>
    <row r="32" spans="1:16" x14ac:dyDescent="0.3">
      <c r="A32" s="2">
        <f>Sheet1!$F$40</f>
        <v>-23</v>
      </c>
      <c r="B32" s="1" t="s">
        <v>63</v>
      </c>
      <c r="C32" s="2">
        <v>0</v>
      </c>
      <c r="H32" s="2" t="s">
        <v>43</v>
      </c>
      <c r="I32" s="2" t="s">
        <v>43</v>
      </c>
      <c r="J32" s="2">
        <f>Sheet1!$E$40</f>
        <v>-23</v>
      </c>
      <c r="K32" s="2">
        <f>Sheet1!$E$39</f>
        <v>0.15</v>
      </c>
      <c r="L32" s="2" t="s">
        <v>71</v>
      </c>
      <c r="M32" s="1" t="s">
        <v>44</v>
      </c>
      <c r="P32" s="2" t="b">
        <v>0</v>
      </c>
    </row>
    <row r="33" spans="1:16" x14ac:dyDescent="0.3">
      <c r="A33" s="2">
        <f>Sheet1!$F$44</f>
        <v>-23</v>
      </c>
      <c r="B33" s="1" t="s">
        <v>62</v>
      </c>
      <c r="C33" s="2">
        <v>0</v>
      </c>
      <c r="H33" s="2" t="s">
        <v>43</v>
      </c>
      <c r="I33" s="2" t="s">
        <v>43</v>
      </c>
      <c r="J33" s="2">
        <f>Sheet1!$E$44</f>
        <v>-23</v>
      </c>
      <c r="K33" s="2">
        <f>Sheet1!$E$43</f>
        <v>0.85</v>
      </c>
      <c r="L33" s="2" t="s">
        <v>73</v>
      </c>
      <c r="M33" s="1" t="s">
        <v>44</v>
      </c>
      <c r="P33" s="2" t="b">
        <v>0</v>
      </c>
    </row>
    <row r="34" spans="1:16" x14ac:dyDescent="0.3">
      <c r="A34" s="2">
        <f>Sheet1!$F$48</f>
        <v>-23</v>
      </c>
      <c r="B34" s="1" t="s">
        <v>63</v>
      </c>
      <c r="C34" s="2">
        <v>0</v>
      </c>
      <c r="H34" s="2" t="s">
        <v>43</v>
      </c>
      <c r="I34" s="2" t="s">
        <v>43</v>
      </c>
      <c r="J34" s="2">
        <f>Sheet1!$E$48</f>
        <v>-23</v>
      </c>
      <c r="K34" s="2">
        <f>Sheet1!$E$47</f>
        <v>0.15</v>
      </c>
      <c r="L34" s="2" t="s">
        <v>73</v>
      </c>
      <c r="M34" s="1" t="s">
        <v>44</v>
      </c>
      <c r="P34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treeCalc_1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Daemon Opoku-Acheampong</dc:creator>
  <cp:lastModifiedBy>Daemon Opoku-Acheampong</cp:lastModifiedBy>
  <dcterms:created xsi:type="dcterms:W3CDTF">2026-03-30T21:08:09Z</dcterms:created>
  <dcterms:modified xsi:type="dcterms:W3CDTF">2026-03-31T17:32:26Z</dcterms:modified>
</cp:coreProperties>
</file>